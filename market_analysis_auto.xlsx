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aw_Data" sheetId="2" state="visible" r:id="rId2"/>
    <sheet xmlns:r="http://schemas.openxmlformats.org/officeDocument/2006/relationships" name="Action_List" sheetId="3" state="visible" r:id="rId3"/>
    <sheet xmlns:r="http://schemas.openxmlformats.org/officeDocument/2006/relationships" name="Score_Breakdown" sheetId="4" state="visible" r:id="rId4"/>
    <sheet xmlns:r="http://schemas.openxmlformats.org/officeDocument/2006/relationships" name="Speculative_Analysis" sheetId="5" state="visible" r:id="rId5"/>
    <sheet xmlns:r="http://schemas.openxmlformats.org/officeDocument/2006/relationships" name="Backtest_Summary" sheetId="6" state="visible" r:id="rId6"/>
    <sheet xmlns:r="http://schemas.openxmlformats.org/officeDocument/2006/relationships" name="Long_Term" sheetId="7" state="visible" r:id="rId7"/>
    <sheet xmlns:r="http://schemas.openxmlformats.org/officeDocument/2006/relationships" name="Momentum" sheetId="8" state="visible" r:id="rId8"/>
    <sheet xmlns:r="http://schemas.openxmlformats.org/officeDocument/2006/relationships" name="Monetary_Plumbing" sheetId="9" state="visible" r:id="rId9"/>
    <sheet xmlns:r="http://schemas.openxmlformats.org/officeDocument/2006/relationships" name="Triggers_Activos" sheetId="10" state="visible" r:id="rId10"/>
    <sheet xmlns:r="http://schemas.openxmlformats.org/officeDocument/2006/relationships" name="Estrategias_Guia" sheetId="11" state="visible" r:id="rId11"/>
    <sheet xmlns:r="http://schemas.openxmlformats.org/officeDocument/2006/relationships" name="Glosari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"/>
  </numFmts>
  <fonts count="29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10"/>
    </font>
    <font>
      <color rgb="00666666"/>
      <sz val="9"/>
    </font>
    <font>
      <b val="1"/>
      <color rgb="00FFFFFF"/>
      <sz val="11"/>
    </font>
    <font>
      <b val="1"/>
    </font>
    <font>
      <b val="1"/>
      <color rgb="00006100"/>
    </font>
    <font>
      <sz val="8"/>
    </font>
    <font>
      <b val="1"/>
      <color rgb="009C0006"/>
    </font>
    <font>
      <b val="1"/>
      <sz val="11"/>
    </font>
    <font>
      <b val="1"/>
      <sz val="9"/>
    </font>
    <font>
      <sz val="9"/>
    </font>
    <font>
      <b val="1"/>
      <color rgb="00006100"/>
      <sz val="12"/>
    </font>
    <font>
      <b val="1"/>
      <sz val="12"/>
    </font>
    <font>
      <b val="1"/>
      <color rgb="009C0006"/>
      <sz val="12"/>
    </font>
    <font>
      <b val="1"/>
      <color rgb="00FFFFFF"/>
    </font>
    <font>
      <color rgb="00006100"/>
      <sz val="9"/>
    </font>
    <font>
      <color rgb="009C0006"/>
      <sz val="9"/>
    </font>
    <font>
      <color rgb="000000FF"/>
      <sz val="9"/>
    </font>
    <font>
      <b val="1"/>
      <color rgb="001F4E79"/>
      <sz val="12"/>
    </font>
    <font>
      <color rgb="000000FF"/>
      <sz val="8"/>
      <u val="single"/>
    </font>
    <font>
      <i val="1"/>
    </font>
    <font>
      <b val="1"/>
      <sz val="10"/>
    </font>
    <font>
      <b val="1"/>
      <sz val="14"/>
    </font>
    <font>
      <sz val="10"/>
    </font>
    <font>
      <i val="1"/>
      <sz val="9"/>
    </font>
    <font>
      <b val="1"/>
      <i val="1"/>
      <sz val="11"/>
    </font>
    <font>
      <b val="1"/>
      <u val="single"/>
    </font>
    <font>
      <color rgb="000000FF"/>
      <u val="single"/>
    </font>
  </fonts>
  <fills count="10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1F4E79"/>
        <bgColor rgb="001F4E79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9EAD3"/>
        <bgColor rgb="00D9EAD3"/>
      </patternFill>
    </fill>
    <fill>
      <patternFill patternType="solid">
        <fgColor rgb="00DBEEF7"/>
        <bgColor rgb="00DBEEF7"/>
      </patternFill>
    </fill>
    <fill>
      <patternFill patternType="solid">
        <fgColor rgb="00FFCCCC"/>
        <bgColor rgb="00FFCCCC"/>
      </patternFill>
    </fill>
    <fill>
      <patternFill patternType="solid">
        <fgColor rgb="00CCE5FF"/>
        <bgColor rgb="00CCE5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0" fillId="5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3" borderId="0" pivotButton="0" quotePrefix="0" xfId="0"/>
    <xf numFmtId="0" fontId="12" fillId="2" borderId="0" pivotButton="0" quotePrefix="0" xfId="0"/>
    <xf numFmtId="0" fontId="5" fillId="6" borderId="0" pivotButton="0" quotePrefix="0" xfId="0"/>
    <xf numFmtId="0" fontId="6" fillId="2" borderId="1" pivotButton="0" quotePrefix="0" xfId="0"/>
    <xf numFmtId="0" fontId="13" fillId="4" borderId="0" pivotButton="0" quotePrefix="0" xfId="0"/>
    <xf numFmtId="0" fontId="5" fillId="4" borderId="0" pivotButton="0" quotePrefix="0" xfId="0"/>
    <xf numFmtId="0" fontId="0" fillId="6" borderId="1" pivotButton="0" quotePrefix="0" xfId="0"/>
    <xf numFmtId="0" fontId="14" fillId="5" borderId="0" pivotButton="0" quotePrefix="0" xfId="0"/>
    <xf numFmtId="0" fontId="15" fillId="5" borderId="0" pivotButton="0" quotePrefix="0" xfId="0"/>
    <xf numFmtId="0" fontId="2" fillId="0" borderId="0" pivotButton="0" quotePrefix="0" xfId="0"/>
    <xf numFmtId="0" fontId="8" fillId="5" borderId="1" pivotButton="0" quotePrefix="0" xfId="0"/>
    <xf numFmtId="165" fontId="5" fillId="2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6" fillId="0" borderId="1" pivotButton="0" quotePrefix="0" xfId="0"/>
    <xf numFmtId="165" fontId="5" fillId="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18" fillId="0" borderId="0" pivotButton="0" quotePrefix="0" xfId="0"/>
    <xf numFmtId="0" fontId="19" fillId="7" borderId="0" pivotButton="0" quotePrefix="0" xfId="0"/>
    <xf numFmtId="0" fontId="0" fillId="8" borderId="1" pivotButton="0" quotePrefix="0" xfId="0"/>
    <xf numFmtId="0" fontId="20" fillId="0" borderId="1" pivotButton="0" quotePrefix="0" xfId="0"/>
    <xf numFmtId="0" fontId="0" fillId="9" borderId="1" pivotButton="0" quotePrefix="0" xfId="0"/>
    <xf numFmtId="0" fontId="21" fillId="0" borderId="0" pivotButton="0" quotePrefix="0" xfId="0"/>
    <xf numFmtId="0" fontId="19" fillId="7" borderId="1" pivotButton="0" quotePrefix="0" xfId="0"/>
    <xf numFmtId="0" fontId="4" fillId="3" borderId="1" pivotButton="0" quotePrefix="0" xfId="0"/>
    <xf numFmtId="0" fontId="22" fillId="2" borderId="0" pivotButton="0" quotePrefix="0" xfId="0"/>
    <xf numFmtId="0" fontId="6" fillId="2" borderId="0" pivotButton="0" quotePrefix="0" xfId="0"/>
    <xf numFmtId="0" fontId="23" fillId="2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3" fillId="2" borderId="1" pivotButton="0" quotePrefix="0" xfId="0"/>
    <xf numFmtId="0" fontId="24" fillId="0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3" fillId="2" borderId="0" pivotButton="0" quotePrefix="0" xfId="0"/>
    <xf numFmtId="0" fontId="8" fillId="0" borderId="1" pivotButton="0" quotePrefix="0" xfId="0"/>
    <xf numFmtId="0" fontId="2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DashboardTable" displayName="DashboardTable" ref="A5:R181" headerRowCount="1">
  <autoFilter ref="A5:R181"/>
  <tableColumns count="18">
    <tableColumn id="1" name="Ticker"/>
    <tableColumn id="2" name="Empresa"/>
    <tableColumn id="3" name="Sector"/>
    <tableColumn id="4" name="Precio"/>
    <tableColumn id="5" name="Score"/>
    <tableColumn id="6" name="Senal"/>
    <tableColumn id="7" name="P/E"/>
    <tableColumn id="8" name="EV/EBITDA"/>
    <tableColumn id="9" name="Deuda/EBITDA"/>
    <tableColumn id="10" name="ROE%"/>
    <tableColumn id="11" name="FCF_Yield%"/>
    <tableColumn id="12" name="Val"/>
    <tableColumn id="13" name="Qual"/>
    <tableColumn id="14" name="Mom"/>
    <tableColumn id="15" name="LowVol"/>
    <tableColumn id="16" name="Cong"/>
    <tableColumn id="17" name="Poly"/>
    <tableColumn id="18" name="Tes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0" customWidth="1" min="4" max="4"/>
    <col width="7" customWidth="1" min="5" max="5"/>
    <col width="10" customWidth="1" min="6" max="6"/>
    <col width="7" customWidth="1" min="7" max="7"/>
    <col width="9" customWidth="1" min="8" max="8"/>
    <col width="10" customWidth="1" min="9" max="9"/>
    <col width="7" customWidth="1" min="10" max="10"/>
    <col width="9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100" customWidth="1" min="18" max="18"/>
  </cols>
  <sheetData>
    <row r="1">
      <c r="A1" s="1" t="inlineStr">
        <is>
          <t>MULTIFACTOR DASHBOARD - 25 Jan 2026 17:48</t>
        </is>
      </c>
    </row>
    <row r="2">
      <c r="A2" s="2" t="inlineStr">
        <is>
          <t>Macro: LATE_EXPANSION | Liquidez: ABUNDANT_LIQUIDITY | Liquidez alta: +Momentum, -Defensivo</t>
        </is>
      </c>
    </row>
    <row r="3">
      <c r="A3" s="3" t="inlineStr">
        <is>
          <t>Pesos: Value 10% | Quality 16% | Momentum 42% | LowVol 5% | Congress 14% | Poly 13%</t>
        </is>
      </c>
    </row>
    <row r="5">
      <c r="A5" s="4" t="inlineStr">
        <is>
          <t>Ticker</t>
        </is>
      </c>
      <c r="B5" s="4" t="inlineStr">
        <is>
          <t>Empresa</t>
        </is>
      </c>
      <c r="C5" s="4" t="inlineStr">
        <is>
          <t>Sector</t>
        </is>
      </c>
      <c r="D5" s="4" t="inlineStr">
        <is>
          <t>Precio</t>
        </is>
      </c>
      <c r="E5" s="4" t="inlineStr">
        <is>
          <t>Score</t>
        </is>
      </c>
      <c r="F5" s="4" t="inlineStr">
        <is>
          <t>Senal</t>
        </is>
      </c>
      <c r="G5" s="4" t="inlineStr">
        <is>
          <t>P/E</t>
        </is>
      </c>
      <c r="H5" s="4" t="inlineStr">
        <is>
          <t>EV/EBITDA</t>
        </is>
      </c>
      <c r="I5" s="4" t="inlineStr">
        <is>
          <t>Deuda/EBITDA</t>
        </is>
      </c>
      <c r="J5" s="4" t="inlineStr">
        <is>
          <t>ROE%</t>
        </is>
      </c>
      <c r="K5" s="4" t="inlineStr">
        <is>
          <t>FCF_Yield%</t>
        </is>
      </c>
      <c r="L5" s="4" t="inlineStr">
        <is>
          <t>Val</t>
        </is>
      </c>
      <c r="M5" s="4" t="inlineStr">
        <is>
          <t>Qual</t>
        </is>
      </c>
      <c r="N5" s="4" t="inlineStr">
        <is>
          <t>Mom</t>
        </is>
      </c>
      <c r="O5" s="4" t="inlineStr">
        <is>
          <t>LowVol</t>
        </is>
      </c>
      <c r="P5" s="4" t="inlineStr">
        <is>
          <t>Cong</t>
        </is>
      </c>
      <c r="Q5" s="4" t="inlineStr">
        <is>
          <t>Poly</t>
        </is>
      </c>
      <c r="R5" s="4" t="inlineStr">
        <is>
          <t>Tesis</t>
        </is>
      </c>
    </row>
    <row r="6">
      <c r="A6" s="5" t="inlineStr">
        <is>
          <t>AU</t>
        </is>
      </c>
      <c r="B6" s="6" t="inlineStr">
        <is>
          <t>AngloGold Ashanti PLC</t>
        </is>
      </c>
      <c r="C6" s="6" t="inlineStr">
        <is>
          <t>Oro</t>
        </is>
      </c>
      <c r="D6" s="7" t="n">
        <v>106.26</v>
      </c>
      <c r="E6" s="8">
        <f>ROUND(L6*0.105+M6*0.158+N6*0.421+O6*0.053+P6*0.137+Q6*0.126,1)</f>
        <v/>
      </c>
      <c r="F6" s="9" t="inlineStr">
        <is>
          <t>HOLD</t>
        </is>
      </c>
      <c r="G6" s="10" t="n">
        <v>12.5</v>
      </c>
      <c r="H6" s="6" t="n">
        <v>12.3</v>
      </c>
      <c r="I6" s="10" t="n">
        <v>-0.1</v>
      </c>
      <c r="J6" s="10" t="inlineStr">
        <is>
          <t>3870</t>
        </is>
      </c>
      <c r="K6" s="10" t="inlineStr">
        <is>
          <t>290.0</t>
        </is>
      </c>
      <c r="L6" s="11" t="n">
        <v>63</v>
      </c>
      <c r="M6" s="11" t="n">
        <v>81</v>
      </c>
      <c r="N6" s="11" t="n">
        <v>87</v>
      </c>
      <c r="O6" s="11" t="n">
        <v>41</v>
      </c>
      <c r="P6" s="11" t="n">
        <v>50</v>
      </c>
      <c r="Q6" s="11" t="n">
        <v>50</v>
      </c>
      <c r="R6" s="12" t="inlineStr">
        <is>
          <t>MANTENER AU | Score: 71/100 | Precio: $106.26 → Target: $101.29 (Upside: -5%) | FORTALEZAS: alta calidad (ROE 38.7%, margen 42.5%); fuerte momentum (retorno 12M: 295.4%) | ESTRATEGIA: Largo plazo (value-quality) - empresa dominante a buen precio</t>
        </is>
      </c>
    </row>
    <row r="7">
      <c r="A7" s="5" t="inlineStr">
        <is>
          <t>NEM</t>
        </is>
      </c>
      <c r="B7" s="6" t="inlineStr">
        <is>
          <t>Newmont Corporation</t>
        </is>
      </c>
      <c r="C7" s="6" t="inlineStr">
        <is>
          <t>Oro</t>
        </is>
      </c>
      <c r="D7" s="7" t="n">
        <v>124.31</v>
      </c>
      <c r="E7" s="8">
        <f>ROUND(L7*0.105+M7*0.158+N7*0.421+O7*0.053+P7*0.137+Q7*0.126,1)</f>
        <v/>
      </c>
      <c r="F7" s="9" t="inlineStr">
        <is>
          <t>HOLD</t>
        </is>
      </c>
      <c r="G7" s="6" t="n">
        <v>15</v>
      </c>
      <c r="H7" s="6" t="n">
        <v>11.1</v>
      </c>
      <c r="I7" s="10" t="n">
        <v>-0</v>
      </c>
      <c r="J7" s="10" t="inlineStr">
        <is>
          <t>2290</t>
        </is>
      </c>
      <c r="K7" s="10" t="inlineStr">
        <is>
          <t>680.0</t>
        </is>
      </c>
      <c r="L7" s="11" t="n">
        <v>70</v>
      </c>
      <c r="M7" s="11" t="n">
        <v>74</v>
      </c>
      <c r="N7" s="11" t="n">
        <v>84</v>
      </c>
      <c r="O7" s="11" t="n">
        <v>54</v>
      </c>
      <c r="P7" s="11" t="n">
        <v>50</v>
      </c>
      <c r="Q7" s="11" t="n">
        <v>50</v>
      </c>
      <c r="R7" s="12" t="inlineStr">
        <is>
          <t>MANTENER NEM | Score: 71/100 | Precio: $124.31 → Target: $119.89 (Upside: -4%) | FORTALEZAS: valoración atractiva (P/E 15.0x, EV/EBITDA 11.1x); alta calidad (ROE 22.9%, margen 46.9%); fuerte momentum (retorno 12M: 200.7%) | ESTRATEGIA: Largo plazo (value-quality) - empresa dominante a buen precio</t>
        </is>
      </c>
    </row>
    <row r="8">
      <c r="A8" s="5" t="inlineStr">
        <is>
          <t>GILD</t>
        </is>
      </c>
      <c r="B8" s="6" t="inlineStr">
        <is>
          <t>Gilead Sciences, Inc.</t>
        </is>
      </c>
      <c r="C8" s="6" t="inlineStr">
        <is>
          <t>Biotech</t>
        </is>
      </c>
      <c r="D8" s="7" t="n">
        <v>135.93</v>
      </c>
      <c r="E8" s="8">
        <f>ROUND(L8*0.105+M8*0.158+N8*0.421+O8*0.053+P8*0.137+Q8*0.126,1)</f>
        <v/>
      </c>
      <c r="F8" s="9" t="inlineStr">
        <is>
          <t>HOLD</t>
        </is>
      </c>
      <c r="G8" s="6" t="n">
        <v>15.5</v>
      </c>
      <c r="H8" s="6" t="n">
        <v>13.1</v>
      </c>
      <c r="I8" s="10" t="n">
        <v>1.2</v>
      </c>
      <c r="J8" s="10" t="inlineStr">
        <is>
          <t>4070</t>
        </is>
      </c>
      <c r="K8" s="10" t="inlineStr">
        <is>
          <t>480.0</t>
        </is>
      </c>
      <c r="L8" s="11" t="n">
        <v>66</v>
      </c>
      <c r="M8" s="11" t="n">
        <v>72</v>
      </c>
      <c r="N8" s="11" t="n">
        <v>83</v>
      </c>
      <c r="O8" s="11" t="n">
        <v>74</v>
      </c>
      <c r="P8" s="11" t="n">
        <v>50</v>
      </c>
      <c r="Q8" s="11" t="n">
        <v>50</v>
      </c>
      <c r="R8" s="12" t="inlineStr">
        <is>
          <t>MANTENER GILD | Score: 70/100 | Precio: $135.93 → Target: $134.53 (Upside: -1%) | FORTALEZAS: valoración atractiva (P/E 15.5x, EV/EBITDA 13.1x); alta calidad (ROE 40.7%, margen 45.2%); fuerte momentum (retorno 12M: 50.1%); baja volatilidad (beta 0.35, vol 29.0%) | ESTRATEGIA: Largo plazo (value-quality) - empresa dominante a buen precio</t>
        </is>
      </c>
    </row>
    <row r="9">
      <c r="A9" s="5" t="inlineStr">
        <is>
          <t>GFI</t>
        </is>
      </c>
      <c r="B9" s="6" t="inlineStr">
        <is>
          <t>Gold Fields Limited</t>
        </is>
      </c>
      <c r="C9" s="6" t="inlineStr">
        <is>
          <t>Oro</t>
        </is>
      </c>
      <c r="D9" s="7" t="n">
        <v>53.22</v>
      </c>
      <c r="E9" s="8">
        <f>ROUND(L9*0.105+M9*0.158+N9*0.421+O9*0.053+P9*0.137+Q9*0.126,1)</f>
        <v/>
      </c>
      <c r="F9" s="9" t="inlineStr">
        <is>
          <t>HOLD</t>
        </is>
      </c>
      <c r="G9" s="10" t="n">
        <v>11.1</v>
      </c>
      <c r="H9" s="6" t="n">
        <v>13.7</v>
      </c>
      <c r="I9" s="10" t="n">
        <v>0.4</v>
      </c>
      <c r="J9" s="10" t="inlineStr">
        <is>
          <t>3520</t>
        </is>
      </c>
      <c r="K9" s="10" t="inlineStr">
        <is>
          <t>320.0</t>
        </is>
      </c>
      <c r="L9" s="11" t="n">
        <v>64</v>
      </c>
      <c r="M9" s="11" t="n">
        <v>77</v>
      </c>
      <c r="N9" s="11" t="n">
        <v>85</v>
      </c>
      <c r="O9" s="11" t="n">
        <v>39</v>
      </c>
      <c r="P9" s="11" t="n">
        <v>50</v>
      </c>
      <c r="Q9" s="11" t="n">
        <v>50</v>
      </c>
      <c r="R9" s="12" t="inlineStr">
        <is>
          <t>MANTENER GFI | Score: 70/100 | Precio: $53.22 → Target: $52.16 (Upside: -2%) | FORTALEZAS: alta calidad (ROE 35.2%, margen 46.4%); fuerte momentum (retorno 12M: 223.4%) | ESTRATEGIA: Largo plazo (value-quality) - empresa dominante a buen precio</t>
        </is>
      </c>
    </row>
    <row r="10">
      <c r="A10" s="5" t="inlineStr">
        <is>
          <t>AEM</t>
        </is>
      </c>
      <c r="B10" s="6" t="inlineStr">
        <is>
          <t>Agnico Eagle Mines Limite</t>
        </is>
      </c>
      <c r="C10" s="6" t="inlineStr">
        <is>
          <t>Oro</t>
        </is>
      </c>
      <c r="D10" s="7" t="n">
        <v>214.54</v>
      </c>
      <c r="E10" s="8">
        <f>ROUND(L10*0.105+M10*0.158+N10*0.421+O10*0.053+P10*0.137+Q10*0.126,1)</f>
        <v/>
      </c>
      <c r="F10" s="9" t="inlineStr">
        <is>
          <t>HOLD</t>
        </is>
      </c>
      <c r="G10" s="6" t="n">
        <v>18.4</v>
      </c>
      <c r="H10" s="6" t="n">
        <v>15.3</v>
      </c>
      <c r="I10" s="10" t="n">
        <v>-0.3</v>
      </c>
      <c r="J10" s="10" t="inlineStr">
        <is>
          <t>1570</t>
        </is>
      </c>
      <c r="K10" s="10" t="inlineStr">
        <is>
          <t>330.0</t>
        </is>
      </c>
      <c r="L10" s="11" t="n">
        <v>55</v>
      </c>
      <c r="M10" s="11" t="n">
        <v>72</v>
      </c>
      <c r="N10" s="11" t="n">
        <v>83</v>
      </c>
      <c r="O10" s="11" t="n">
        <v>52</v>
      </c>
      <c r="P10" s="11" t="n">
        <v>50</v>
      </c>
      <c r="Q10" s="11" t="n">
        <v>50</v>
      </c>
      <c r="R10" s="12" t="inlineStr">
        <is>
          <t>MANTENER AEM | Score: 68/100 | Precio: $214.54 → Target: $209.55 (Upside: -2%) | FORTALEZAS: alta calidad (ROE 15.7%, margen 53.1%); fuerte momentum (retorno 12M: 141.6%)</t>
        </is>
      </c>
    </row>
    <row r="11">
      <c r="A11" s="5" t="inlineStr">
        <is>
          <t>GSK</t>
        </is>
      </c>
      <c r="B11" s="6" t="inlineStr">
        <is>
          <t>GSK plc</t>
        </is>
      </c>
      <c r="C11" s="6" t="inlineStr">
        <is>
          <t>Pharma</t>
        </is>
      </c>
      <c r="D11" s="7" t="n">
        <v>49.15</v>
      </c>
      <c r="E11" s="8">
        <f>ROUND(L11*0.105+M11*0.158+N11*0.421+O11*0.053+P11*0.137+Q11*0.126,1)</f>
        <v/>
      </c>
      <c r="F11" s="8" t="inlineStr">
        <is>
          <t>BUY</t>
        </is>
      </c>
      <c r="G11" s="10" t="n">
        <v>10.2</v>
      </c>
      <c r="H11" s="13" t="n">
        <v>22.3</v>
      </c>
      <c r="I11" s="10" t="n">
        <v>1.5</v>
      </c>
      <c r="J11" s="10" t="inlineStr">
        <is>
          <t>4150</t>
        </is>
      </c>
      <c r="K11" s="10" t="inlineStr">
        <is>
          <t>380.0</t>
        </is>
      </c>
      <c r="L11" s="11" t="n">
        <v>59</v>
      </c>
      <c r="M11" s="11" t="n">
        <v>65</v>
      </c>
      <c r="N11" s="11" t="n">
        <v>81</v>
      </c>
      <c r="O11" s="11" t="n">
        <v>78</v>
      </c>
      <c r="P11" s="11" t="n">
        <v>50</v>
      </c>
      <c r="Q11" s="11" t="n">
        <v>50</v>
      </c>
      <c r="R11" s="12" t="inlineStr">
        <is>
          <t>COMPRA GSK | Score: 68/100 | Precio: $49.15 → Target: $51.98 (Upside: +6%) | FORTALEZAS: alta calidad (ROE 41.5%, margen 32.6%); fuerte momentum (retorno 12M: 49.6%); baja volatilidad (beta 0.25, vol 28.3%) | ESTRATEGIA: Corto plazo (trading) - momentum fuerte + catalizador | GESTIÓN RIESGO: Stop $45.22 (-8%), Target 1 $56.52 (+15%)</t>
        </is>
      </c>
    </row>
    <row r="12">
      <c r="A12" s="5" t="inlineStr">
        <is>
          <t>NOVN.SW</t>
        </is>
      </c>
      <c r="B12" s="6" t="inlineStr">
        <is>
          <t>NOVARTIS N</t>
        </is>
      </c>
      <c r="C12" s="6" t="inlineStr">
        <is>
          <t>Pharma</t>
        </is>
      </c>
      <c r="D12" s="7" t="n">
        <v>115.64</v>
      </c>
      <c r="E12" s="8">
        <f>ROUND(L12*0.105+M12*0.158+N12*0.421+O12*0.053+P12*0.137+Q12*0.126,1)</f>
        <v/>
      </c>
      <c r="F12" s="9" t="inlineStr">
        <is>
          <t>HOLD</t>
        </is>
      </c>
      <c r="G12" s="6" t="n">
        <v>16.2</v>
      </c>
      <c r="H12" s="10" t="n">
        <v>9.800000000000001</v>
      </c>
      <c r="I12" s="10" t="n">
        <v>0.9</v>
      </c>
      <c r="J12" s="10" t="inlineStr">
        <is>
          <t>3260</t>
        </is>
      </c>
      <c r="K12" s="10" t="inlineStr">
        <is>
          <t>720.0</t>
        </is>
      </c>
      <c r="L12" s="11" t="n">
        <v>70</v>
      </c>
      <c r="M12" s="11" t="n">
        <v>66</v>
      </c>
      <c r="N12" s="11" t="n">
        <v>76</v>
      </c>
      <c r="O12" s="11" t="n">
        <v>83</v>
      </c>
      <c r="P12" s="11" t="n">
        <v>50</v>
      </c>
      <c r="Q12" s="11" t="n">
        <v>50</v>
      </c>
      <c r="R12" s="12" t="inlineStr">
        <is>
          <t>MANTENER NOVN.SW | Score: 67/100 | Precio: $115.64 → Target: $109.83 (Upside: -5%) | FORTALEZAS: valoración atractiva (P/E 16.2x, EV/EBITDA 9.8x); alta calidad (ROE 32.6%, margen 31.9%); fuerte momentum (retorno 12M: 32.7%); baja volatilidad (beta 0.45, vol 20.7%)</t>
        </is>
      </c>
    </row>
    <row r="13">
      <c r="A13" s="5" t="inlineStr">
        <is>
          <t>ROG.SW</t>
        </is>
      </c>
      <c r="B13" s="6" t="inlineStr">
        <is>
          <t>ROCHE GS</t>
        </is>
      </c>
      <c r="C13" s="6" t="inlineStr">
        <is>
          <t>Pharma</t>
        </is>
      </c>
      <c r="D13" s="7" t="n">
        <v>348.1</v>
      </c>
      <c r="E13" s="8">
        <f>ROUND(L13*0.105+M13*0.158+N13*0.421+O13*0.053+P13*0.137+Q13*0.126,1)</f>
        <v/>
      </c>
      <c r="F13" s="9" t="inlineStr">
        <is>
          <t>HOLD</t>
        </is>
      </c>
      <c r="G13" s="6" t="n">
        <v>16.9</v>
      </c>
      <c r="H13" s="6" t="n">
        <v>13</v>
      </c>
      <c r="I13" s="10" t="n">
        <v>1</v>
      </c>
      <c r="J13" s="10" t="inlineStr">
        <is>
          <t>3130</t>
        </is>
      </c>
      <c r="K13" s="10" t="inlineStr">
        <is>
          <t>420.0</t>
        </is>
      </c>
      <c r="L13" s="11" t="n">
        <v>64</v>
      </c>
      <c r="M13" s="11" t="n">
        <v>68</v>
      </c>
      <c r="N13" s="11" t="n">
        <v>74</v>
      </c>
      <c r="O13" s="11" t="n">
        <v>89</v>
      </c>
      <c r="P13" s="11" t="n">
        <v>50</v>
      </c>
      <c r="Q13" s="11" t="n">
        <v>50</v>
      </c>
      <c r="R13" s="12" t="inlineStr">
        <is>
          <t>MANTENER ROG.SW | Score: 67/100 | Precio: $348.10 → Target: $342.27 (Upside: -2%) | FORTALEZAS: alta calidad (ROE 31.3%, margen 36.1%); fuerte momentum (retorno 12M: 31.1%); baja volatilidad (beta 0.17, vol 24.5%)</t>
        </is>
      </c>
    </row>
    <row r="14">
      <c r="A14" s="5" t="inlineStr">
        <is>
          <t>ABBV</t>
        </is>
      </c>
      <c r="B14" s="6" t="inlineStr">
        <is>
          <t>AbbVie Inc.</t>
        </is>
      </c>
      <c r="C14" s="6" t="inlineStr">
        <is>
          <t>Pharma</t>
        </is>
      </c>
      <c r="D14" s="7" t="n">
        <v>219.26</v>
      </c>
      <c r="E14" s="8">
        <f>ROUND(L14*0.105+M14*0.158+N14*0.421+O14*0.053+P14*0.137+Q14*0.126,1)</f>
        <v/>
      </c>
      <c r="F14" s="8" t="inlineStr">
        <is>
          <t>STRONG BUY</t>
        </is>
      </c>
      <c r="G14" s="6" t="n">
        <v>15.4</v>
      </c>
      <c r="H14" s="6" t="n">
        <v>15.3</v>
      </c>
      <c r="I14" s="6" t="n">
        <v>2.1</v>
      </c>
      <c r="J14" s="10" t="inlineStr">
        <is>
          <t>13800</t>
        </is>
      </c>
      <c r="K14" s="10" t="inlineStr">
        <is>
          <t>540.0</t>
        </is>
      </c>
      <c r="L14" s="11" t="n">
        <v>65</v>
      </c>
      <c r="M14" s="11" t="n">
        <v>68</v>
      </c>
      <c r="N14" s="11" t="n">
        <v>74</v>
      </c>
      <c r="O14" s="11" t="n">
        <v>80</v>
      </c>
      <c r="P14" s="11" t="n">
        <v>50</v>
      </c>
      <c r="Q14" s="11" t="n">
        <v>50</v>
      </c>
      <c r="R14" s="12" t="inlineStr">
        <is>
          <t>COMPRA FUERTE ABBV | Score: 66/100 | Precio: $219.26 → Target: $245.22 (Upside: +12%) | FORTALEZAS: alta calidad (ROE 138.0%, margen 35.5%); fuerte momentum (retorno 12M: 33.1%); baja volatilidad (beta 0.35, vol 26.7%) | ESTRATEGIA: Corto plazo (trading) - momentum fuerte + catalizador | GESTIÓN RIESGO: Stop $201.72 (-8%), Target 1 $252.15 (+15%)</t>
        </is>
      </c>
    </row>
    <row r="15">
      <c r="A15" s="5" t="inlineStr">
        <is>
          <t>JNJ</t>
        </is>
      </c>
      <c r="B15" s="6" t="inlineStr">
        <is>
          <t>Johnson &amp; Johnson</t>
        </is>
      </c>
      <c r="C15" s="6" t="inlineStr">
        <is>
          <t>Defensivo</t>
        </is>
      </c>
      <c r="D15" s="7" t="n">
        <v>220.14</v>
      </c>
      <c r="E15" s="8">
        <f>ROUND(L15*0.105+M15*0.158+N15*0.421+O15*0.053+P15*0.137+Q15*0.126,1)</f>
        <v/>
      </c>
      <c r="F15" s="8" t="inlineStr">
        <is>
          <t>BUY</t>
        </is>
      </c>
      <c r="G15" s="6" t="n">
        <v>17.6</v>
      </c>
      <c r="H15" s="6" t="n">
        <v>16.9</v>
      </c>
      <c r="I15" s="10" t="n">
        <v>0.8</v>
      </c>
      <c r="J15" s="10" t="inlineStr">
        <is>
          <t>3560</t>
        </is>
      </c>
      <c r="K15" s="6" t="inlineStr">
        <is>
          <t>-</t>
        </is>
      </c>
      <c r="L15" s="11" t="n">
        <v>52</v>
      </c>
      <c r="M15" s="11" t="n">
        <v>63</v>
      </c>
      <c r="N15" s="11" t="n">
        <v>77</v>
      </c>
      <c r="O15" s="11" t="n">
        <v>89</v>
      </c>
      <c r="P15" s="11" t="n">
        <v>50</v>
      </c>
      <c r="Q15" s="11" t="n">
        <v>50</v>
      </c>
      <c r="R15" s="12" t="inlineStr">
        <is>
          <t>COMPRA JNJ | Score: 66/100 | Precio: $220.14 → Target: $224.09 (Upside: +2%) | FORTALEZAS: fuerte momentum (retorno 12M: 54.5%); baja volatilidad (beta 0.33, vol 19.5%) | ESTRATEGIA: Corto plazo (trading) - momentum fuerte + catalizador | GESTIÓN RIESGO: Stop $202.53 (-8%), Target 1 $253.16 (+15%)</t>
        </is>
      </c>
    </row>
    <row r="16">
      <c r="A16" s="5" t="inlineStr">
        <is>
          <t>SCCO</t>
        </is>
      </c>
      <c r="B16" s="6" t="inlineStr">
        <is>
          <t>Southern Copper Corporati</t>
        </is>
      </c>
      <c r="C16" s="6" t="inlineStr">
        <is>
          <t>Cobre Litio</t>
        </is>
      </c>
      <c r="D16" s="7" t="n">
        <v>184.3</v>
      </c>
      <c r="E16" s="8">
        <f>ROUND(L16*0.105+M16*0.158+N16*0.421+O16*0.053+P16*0.137+Q16*0.126,1)</f>
        <v/>
      </c>
      <c r="F16" s="9" t="inlineStr">
        <is>
          <t>HOLD</t>
        </is>
      </c>
      <c r="G16" s="13" t="n">
        <v>30.2</v>
      </c>
      <c r="H16" s="13" t="n">
        <v>21.8</v>
      </c>
      <c r="I16" s="10" t="n">
        <v>0.4</v>
      </c>
      <c r="J16" s="10" t="inlineStr">
        <is>
          <t>3930</t>
        </is>
      </c>
      <c r="K16" s="10" t="inlineStr">
        <is>
          <t>210.0</t>
        </is>
      </c>
      <c r="L16" s="11" t="n">
        <v>32</v>
      </c>
      <c r="M16" s="11" t="n">
        <v>80</v>
      </c>
      <c r="N16" s="11" t="n">
        <v>82</v>
      </c>
      <c r="O16" s="11" t="n">
        <v>37</v>
      </c>
      <c r="P16" s="11" t="n">
        <v>50</v>
      </c>
      <c r="Q16" s="11" t="n">
        <v>50</v>
      </c>
      <c r="R16" s="12" t="inlineStr">
        <is>
          <t>MANTENER SCCO | Score: 66/100 | Precio: $184.30 → Target: $138.45 (Upside: -25%) | FORTALEZAS: alta calidad (ROE 39.3%, margen 52.4%); fuerte momentum (retorno 12M: 102.1%) | DEBILIDADES: valoración cara (P/E 30.2x, EV/EBITDA 21.8x)</t>
        </is>
      </c>
    </row>
    <row r="17">
      <c r="A17" s="5" t="inlineStr">
        <is>
          <t>VALE</t>
        </is>
      </c>
      <c r="B17" s="6" t="inlineStr">
        <is>
          <t>VALE S.A.</t>
        </is>
      </c>
      <c r="C17" s="6" t="inlineStr">
        <is>
          <t>Cobre Litio</t>
        </is>
      </c>
      <c r="D17" s="7" t="n">
        <v>16.18</v>
      </c>
      <c r="E17" s="8">
        <f>ROUND(L17*0.105+M17*0.158+N17*0.421+O17*0.053+P17*0.137+Q17*0.126,1)</f>
        <v/>
      </c>
      <c r="F17" s="9" t="inlineStr">
        <is>
          <t>HOLD</t>
        </is>
      </c>
      <c r="G17" s="10" t="n">
        <v>7.5</v>
      </c>
      <c r="H17" s="10" t="n">
        <v>2.1</v>
      </c>
      <c r="I17" s="10" t="n">
        <v>1.1</v>
      </c>
      <c r="J17" s="10" t="inlineStr">
        <is>
          <t>1330</t>
        </is>
      </c>
      <c r="K17" s="13" t="inlineStr">
        <is>
          <t>-140.0</t>
        </is>
      </c>
      <c r="L17" s="11" t="n">
        <v>64</v>
      </c>
      <c r="M17" s="11" t="n">
        <v>51</v>
      </c>
      <c r="N17" s="11" t="n">
        <v>81</v>
      </c>
      <c r="O17" s="11" t="n">
        <v>59</v>
      </c>
      <c r="P17" s="11" t="n">
        <v>50</v>
      </c>
      <c r="Q17" s="11" t="n">
        <v>50</v>
      </c>
      <c r="R17" s="12" t="inlineStr">
        <is>
          <t>MANTENER VALE | Score: 65/100 | Precio: $16.18 → Target: $14.70 (Upside: -9%) | FORTALEZAS: fuerte momentum (retorno 12M: 93.6%)</t>
        </is>
      </c>
    </row>
    <row r="18">
      <c r="A18" s="5" t="inlineStr">
        <is>
          <t>AZN</t>
        </is>
      </c>
      <c r="B18" s="6" t="inlineStr">
        <is>
          <t>Astrazeneca PLC</t>
        </is>
      </c>
      <c r="C18" s="6" t="inlineStr">
        <is>
          <t>Pharma</t>
        </is>
      </c>
      <c r="D18" s="7" t="n">
        <v>92.95</v>
      </c>
      <c r="E18" s="8">
        <f>ROUND(L18*0.105+M18*0.158+N18*0.421+O18*0.053+P18*0.137+Q18*0.126,1)</f>
        <v/>
      </c>
      <c r="F18" s="8" t="inlineStr">
        <is>
          <t>BUY</t>
        </is>
      </c>
      <c r="G18" s="6" t="n">
        <v>18.2</v>
      </c>
      <c r="H18" s="10" t="n">
        <v>8.300000000000001</v>
      </c>
      <c r="I18" s="10" t="n">
        <v>1.2</v>
      </c>
      <c r="J18" s="10" t="inlineStr">
        <is>
          <t>2170</t>
        </is>
      </c>
      <c r="K18" s="10" t="inlineStr">
        <is>
          <t>350.0</t>
        </is>
      </c>
      <c r="L18" s="11" t="n">
        <v>63</v>
      </c>
      <c r="M18" s="11" t="n">
        <v>52</v>
      </c>
      <c r="N18" s="11" t="n">
        <v>76</v>
      </c>
      <c r="O18" s="11" t="n">
        <v>86</v>
      </c>
      <c r="P18" s="11" t="n">
        <v>50</v>
      </c>
      <c r="Q18" s="11" t="n">
        <v>50</v>
      </c>
      <c r="R18" s="12" t="inlineStr">
        <is>
          <t>COMPRA AZN | Score: 65/100 | Precio: $92.95 → Target: $99.05 (Upside: +7%) | FORTALEZAS: fuerte momentum (retorno 12M: 37.5%); baja volatilidad (beta 0.19, vol 26.2%) | ESTRATEGIA: Corto plazo (trading) - momentum fuerte + catalizador | GESTIÓN RIESGO: Stop $85.51 (-8%), Target 1 $106.89 (+15%)</t>
        </is>
      </c>
    </row>
    <row r="19">
      <c r="A19" s="5" t="inlineStr">
        <is>
          <t>WPM</t>
        </is>
      </c>
      <c r="B19" s="6" t="inlineStr">
        <is>
          <t>Wheaton Precious Metals C</t>
        </is>
      </c>
      <c r="C19" s="6" t="inlineStr">
        <is>
          <t>Oro</t>
        </is>
      </c>
      <c r="D19" s="7" t="n">
        <v>146.16</v>
      </c>
      <c r="E19" s="8">
        <f>ROUND(L19*0.105+M19*0.158+N19*0.421+O19*0.053+P19*0.137+Q19*0.126,1)</f>
        <v/>
      </c>
      <c r="F19" s="8" t="inlineStr">
        <is>
          <t>BUY</t>
        </is>
      </c>
      <c r="G19" s="13" t="n">
        <v>38</v>
      </c>
      <c r="H19" s="13" t="n">
        <v>44.6</v>
      </c>
      <c r="I19" s="10" t="n">
        <v>-0.8</v>
      </c>
      <c r="J19" s="10" t="inlineStr">
        <is>
          <t>1300</t>
        </is>
      </c>
      <c r="K19" s="10" t="inlineStr">
        <is>
          <t>60.0</t>
        </is>
      </c>
      <c r="L19" s="11" t="n">
        <v>15</v>
      </c>
      <c r="M19" s="11" t="n">
        <v>73</v>
      </c>
      <c r="N19" s="11" t="n">
        <v>84</v>
      </c>
      <c r="O19" s="11" t="n">
        <v>47</v>
      </c>
      <c r="P19" s="11" t="n">
        <v>50</v>
      </c>
      <c r="Q19" s="11" t="n">
        <v>50</v>
      </c>
      <c r="R19" s="12" t="inlineStr">
        <is>
          <t>COMPRA WPM | Score: 64/100 | Precio: $146.16 → Target: $153.22 (Upside: +5%) | FORTALEZAS: alta calidad (ROE 13.0%, margen 66.5%); fuerte momentum (retorno 12M: 144.6%) | DEBILIDADES: valoración cara (P/E 38.0x, EV/EBITDA 44.6x) | ESTRATEGIA: Corto plazo (trading) - momentum fuerte + catalizador | GESTIÓN RIESGO: Stop $134.47 (-8%), Target 1 $168.08 (+15%)</t>
        </is>
      </c>
    </row>
    <row r="20">
      <c r="A20" s="5" t="inlineStr">
        <is>
          <t>RIO</t>
        </is>
      </c>
      <c r="B20" s="6" t="inlineStr">
        <is>
          <t>Rio Tinto Plc</t>
        </is>
      </c>
      <c r="C20" s="6" t="inlineStr">
        <is>
          <t>Cobre Litio</t>
        </is>
      </c>
      <c r="D20" s="7" t="n">
        <v>90.43000000000001</v>
      </c>
      <c r="E20" s="8">
        <f>ROUND(L20*0.105+M20*0.158+N20*0.421+O20*0.053+P20*0.137+Q20*0.126,1)</f>
        <v/>
      </c>
      <c r="F20" s="9" t="inlineStr">
        <is>
          <t>HOLD</t>
        </is>
      </c>
      <c r="G20" s="10" t="n">
        <v>12.2</v>
      </c>
      <c r="H20" s="10" t="n">
        <v>9.1</v>
      </c>
      <c r="I20" s="10" t="n">
        <v>0.8</v>
      </c>
      <c r="J20" s="10" t="inlineStr">
        <is>
          <t>1720</t>
        </is>
      </c>
      <c r="K20" s="10" t="inlineStr">
        <is>
          <t>240.0</t>
        </is>
      </c>
      <c r="L20" s="11" t="n">
        <v>64</v>
      </c>
      <c r="M20" s="11" t="n">
        <v>54</v>
      </c>
      <c r="N20" s="11" t="n">
        <v>76</v>
      </c>
      <c r="O20" s="11" t="n">
        <v>75</v>
      </c>
      <c r="P20" s="11" t="n">
        <v>50</v>
      </c>
      <c r="Q20" s="11" t="n">
        <v>50</v>
      </c>
      <c r="R20" s="12" t="inlineStr">
        <is>
          <t>MANTENER RIO | Score: 64/100 | Precio: $90.43 → Target: $87.12 (Upside: -4%) | FORTALEZAS: fuerte momentum (retorno 12M: 54.6%); baja volatilidad (beta 0.58, vol 25.2%)</t>
        </is>
      </c>
    </row>
    <row r="21">
      <c r="A21" s="5" t="inlineStr">
        <is>
          <t>MRK</t>
        </is>
      </c>
      <c r="B21" s="6" t="inlineStr">
        <is>
          <t>Merck &amp; Company, Inc.</t>
        </is>
      </c>
      <c r="C21" s="6" t="inlineStr">
        <is>
          <t>Pharma</t>
        </is>
      </c>
      <c r="D21" s="7" t="n">
        <v>108.18</v>
      </c>
      <c r="E21" s="8">
        <f>ROUND(L21*0.105+M21*0.158+N21*0.421+O21*0.053+P21*0.137+Q21*0.126,1)</f>
        <v/>
      </c>
      <c r="F21" s="8" t="inlineStr">
        <is>
          <t>BUY</t>
        </is>
      </c>
      <c r="G21" s="6" t="n">
        <v>17.5</v>
      </c>
      <c r="H21" s="10" t="n">
        <v>9.300000000000001</v>
      </c>
      <c r="I21" s="10" t="n">
        <v>0.7</v>
      </c>
      <c r="J21" s="10" t="inlineStr">
        <is>
          <t>3950</t>
        </is>
      </c>
      <c r="K21" s="10" t="inlineStr">
        <is>
          <t>540.0</t>
        </is>
      </c>
      <c r="L21" s="11" t="n">
        <v>67</v>
      </c>
      <c r="M21" s="11" t="n">
        <v>75</v>
      </c>
      <c r="N21" s="11" t="n">
        <v>66</v>
      </c>
      <c r="O21" s="11" t="n">
        <v>74</v>
      </c>
      <c r="P21" s="11" t="n">
        <v>50</v>
      </c>
      <c r="Q21" s="11" t="n">
        <v>50</v>
      </c>
      <c r="R21" s="12" t="inlineStr">
        <is>
          <t>COMPRA MRK | Score: 64/100 | Precio: $108.18 → Target: $115.33 (Upside: +7%) | FORTALEZAS: valoración atractiva (P/E 17.5x, EV/EBITDA 9.3x); alta calidad (ROE 39.5%, margen 40.8%); fuerte momentum (retorno 12M: 17.5%); baja volatilidad (beta 0.30, vol 30.4%) | ESTRATEGIA: Corto plazo (trading) - momentum fuerte + catalizador | GESTIÓN RIESGO: Stop $99.53 (-8%), Target 1 $124.41 (+15%)</t>
        </is>
      </c>
    </row>
    <row r="22">
      <c r="A22" s="5" t="inlineStr">
        <is>
          <t>RNMBY</t>
        </is>
      </c>
      <c r="B22" s="6" t="inlineStr">
        <is>
          <t>Rheinmetall AG</t>
        </is>
      </c>
      <c r="C22" s="6" t="inlineStr">
        <is>
          <t>Defensa</t>
        </is>
      </c>
      <c r="D22" s="7" t="n">
        <v>433.47</v>
      </c>
      <c r="E22" s="8">
        <f>ROUND(L22*0.105+M22*0.158+N22*0.421+O22*0.053+P22*0.137+Q22*0.126,1)</f>
        <v/>
      </c>
      <c r="F22" s="8" t="inlineStr">
        <is>
          <t>BUY</t>
        </is>
      </c>
      <c r="G22" s="13" t="n">
        <v>45.5</v>
      </c>
      <c r="H22" s="6" t="n">
        <v>11.5</v>
      </c>
      <c r="I22" s="10" t="n">
        <v>1</v>
      </c>
      <c r="J22" s="10" t="inlineStr">
        <is>
          <t>2240</t>
        </is>
      </c>
      <c r="K22" s="6" t="inlineStr">
        <is>
          <t>-</t>
        </is>
      </c>
      <c r="L22" s="11" t="n">
        <v>30</v>
      </c>
      <c r="M22" s="11" t="n">
        <v>46</v>
      </c>
      <c r="N22" s="11" t="n">
        <v>77</v>
      </c>
      <c r="O22" s="11" t="n">
        <v>46</v>
      </c>
      <c r="P22" s="11" t="n">
        <v>50</v>
      </c>
      <c r="Q22" s="11" t="n">
        <v>50</v>
      </c>
      <c r="R22" s="12" t="inlineStr">
        <is>
          <t>COMPRA RNMBY | Score: 63/100 | FORTALEZAS: fuerte momentum (retorno 12M: 184.1%) | DEBILIDADES: valoración cara (P/E 45.5x, EV/EBITDA 11.5x) | ESTRATEGIA: Corto plazo (trading) - momentum fuerte + catalizador | GESTIÓN RIESGO: Stop $398.79 (-8%), Target 1 $498.49 (+15%)</t>
        </is>
      </c>
    </row>
    <row r="23">
      <c r="A23" s="5" t="inlineStr">
        <is>
          <t>WBD</t>
        </is>
      </c>
      <c r="B23" s="6" t="inlineStr">
        <is>
          <t>Warner Bros. Discovery, I</t>
        </is>
      </c>
      <c r="C23" s="6" t="inlineStr">
        <is>
          <t>Streaming Media</t>
        </is>
      </c>
      <c r="D23" s="7" t="n">
        <v>28.58</v>
      </c>
      <c r="E23" s="8">
        <f>ROUND(L23*0.105+M23*0.158+N23*0.421+O23*0.053+P23*0.137+Q23*0.126,1)</f>
        <v/>
      </c>
      <c r="F23" s="9" t="inlineStr">
        <is>
          <t>HOLD</t>
        </is>
      </c>
      <c r="G23" s="10" t="n">
        <v>-146.8</v>
      </c>
      <c r="H23" s="6" t="n">
        <v>13.1</v>
      </c>
      <c r="I23" s="6" t="n">
        <v>3.8</v>
      </c>
      <c r="J23" s="10" t="inlineStr">
        <is>
          <t>100</t>
        </is>
      </c>
      <c r="K23" s="10" t="inlineStr">
        <is>
          <t>2430.0</t>
        </is>
      </c>
      <c r="L23" s="11" t="n">
        <v>82</v>
      </c>
      <c r="M23" s="11" t="n">
        <v>16</v>
      </c>
      <c r="N23" s="11" t="n">
        <v>91</v>
      </c>
      <c r="O23" s="11" t="n">
        <v>12</v>
      </c>
      <c r="P23" s="11" t="n">
        <v>50</v>
      </c>
      <c r="Q23" s="11" t="n">
        <v>50</v>
      </c>
      <c r="R23" s="12" t="inlineStr">
        <is>
          <t>MANTENER WBD | Score: 63/100 | Precio: $28.58 → Target: $27.78 (Upside: -3%) | FORTALEZAS: valoración atractiva (P/E -146.8x, EV/EBITDA 13.1x); fuerte momentum (retorno 12M: 178.8%) | DEBILIDADES: baja calidad operativa (ROE bajo, márgenes débiles); alta volatilidad (beta 1.57, vol 60.9%)</t>
        </is>
      </c>
    </row>
    <row r="24">
      <c r="A24" s="5" t="inlineStr">
        <is>
          <t>FNV</t>
        </is>
      </c>
      <c r="B24" s="6" t="inlineStr">
        <is>
          <t>Franco-Nevada Corporation</t>
        </is>
      </c>
      <c r="C24" s="6" t="inlineStr">
        <is>
          <t>Oro</t>
        </is>
      </c>
      <c r="D24" s="7" t="n">
        <v>255.75</v>
      </c>
      <c r="E24" s="8">
        <f>ROUND(L24*0.105+M24*0.158+N24*0.421+O24*0.053+P24*0.137+Q24*0.126,1)</f>
        <v/>
      </c>
      <c r="F24" s="9" t="inlineStr">
        <is>
          <t>HOLD</t>
        </is>
      </c>
      <c r="G24" s="13" t="n">
        <v>33.8</v>
      </c>
      <c r="H24" s="13" t="n">
        <v>35.3</v>
      </c>
      <c r="I24" s="10" t="n">
        <v>-0.2</v>
      </c>
      <c r="J24" s="10" t="inlineStr">
        <is>
          <t>1420</t>
        </is>
      </c>
      <c r="K24" s="13" t="inlineStr">
        <is>
          <t>-230.0</t>
        </is>
      </c>
      <c r="L24" s="11" t="n">
        <v>14</v>
      </c>
      <c r="M24" s="11" t="n">
        <v>72</v>
      </c>
      <c r="N24" s="11" t="n">
        <v>80</v>
      </c>
      <c r="O24" s="11" t="n">
        <v>60</v>
      </c>
      <c r="P24" s="11" t="n">
        <v>50</v>
      </c>
      <c r="Q24" s="11" t="n">
        <v>50</v>
      </c>
      <c r="R24" s="12" t="inlineStr">
        <is>
          <t>MANTENER FNV | Score: 63/100 | Precio: $255.75 → Target: $250.00 (Upside: -2%) | FORTALEZAS: alta calidad (ROE 14.2%, margen 70.0%); fuerte momentum (retorno 12M: 97.7%) | DEBILIDADES: valoración cara (P/E 33.8x, EV/EBITDA 35.3x)</t>
        </is>
      </c>
    </row>
    <row r="25">
      <c r="A25" s="5" t="inlineStr">
        <is>
          <t>BHP</t>
        </is>
      </c>
      <c r="B25" s="6" t="inlineStr">
        <is>
          <t>BHP Group Limited</t>
        </is>
      </c>
      <c r="C25" s="6" t="inlineStr">
        <is>
          <t>Cobre Litio</t>
        </is>
      </c>
      <c r="D25" s="7" t="n">
        <v>67.52</v>
      </c>
      <c r="E25" s="8">
        <f>ROUND(L25*0.105+M25*0.158+N25*0.421+O25*0.053+P25*0.137+Q25*0.126,1)</f>
        <v/>
      </c>
      <c r="F25" s="9" t="inlineStr">
        <is>
          <t>HOLD</t>
        </is>
      </c>
      <c r="G25" s="6" t="n">
        <v>15.5</v>
      </c>
      <c r="H25" s="6" t="n">
        <v>15.4</v>
      </c>
      <c r="I25" s="10" t="n">
        <v>0.6</v>
      </c>
      <c r="J25" s="10" t="inlineStr">
        <is>
          <t>2200</t>
        </is>
      </c>
      <c r="K25" s="10" t="inlineStr">
        <is>
          <t>550.0</t>
        </is>
      </c>
      <c r="L25" s="11" t="n">
        <v>64</v>
      </c>
      <c r="M25" s="11" t="n">
        <v>66</v>
      </c>
      <c r="N25" s="11" t="n">
        <v>69</v>
      </c>
      <c r="O25" s="11" t="n">
        <v>64</v>
      </c>
      <c r="P25" s="11" t="n">
        <v>50</v>
      </c>
      <c r="Q25" s="11" t="n">
        <v>50</v>
      </c>
      <c r="R25" s="12" t="inlineStr">
        <is>
          <t>MANTENER BHP | Score: 63/100 | Precio: $67.52 → Target: $57.00 (Upside: -16%) | FORTALEZAS: alta calidad (ROE 22.0%, margen 37.7%); fuerte momentum (retorno 12M: 38.1%)</t>
        </is>
      </c>
    </row>
    <row r="26">
      <c r="A26" s="5" t="inlineStr">
        <is>
          <t>SAN</t>
        </is>
      </c>
      <c r="B26" s="6" t="inlineStr">
        <is>
          <t>Banco Santander, S.A. Spo</t>
        </is>
      </c>
      <c r="C26" s="6" t="inlineStr">
        <is>
          <t>Europa Financieras</t>
        </is>
      </c>
      <c r="D26" s="7" t="n">
        <v>12.4</v>
      </c>
      <c r="E26" s="8">
        <f>ROUND(L26*0.105+M26*0.158+N26*0.421+O26*0.053+P26*0.137+Q26*0.126,1)</f>
        <v/>
      </c>
      <c r="F26" s="9" t="inlineStr">
        <is>
          <t>HOLD</t>
        </is>
      </c>
      <c r="G26" s="10" t="n">
        <v>11.6</v>
      </c>
      <c r="H26" s="6" t="inlineStr">
        <is>
          <t>-</t>
        </is>
      </c>
      <c r="I26" s="10" t="n">
        <v>-47460024320</v>
      </c>
      <c r="J26" s="10" t="inlineStr">
        <is>
          <t>1370</t>
        </is>
      </c>
      <c r="K26" s="6" t="inlineStr">
        <is>
          <t>-</t>
        </is>
      </c>
      <c r="L26" s="11" t="n">
        <v>60</v>
      </c>
      <c r="M26" s="11" t="n">
        <v>73</v>
      </c>
      <c r="N26" s="11" t="n">
        <v>69</v>
      </c>
      <c r="O26" s="11" t="n">
        <v>48</v>
      </c>
      <c r="P26" s="11" t="n">
        <v>50</v>
      </c>
      <c r="Q26" s="11" t="n">
        <v>50</v>
      </c>
      <c r="R26" s="12" t="inlineStr">
        <is>
          <t>MANTENER SAN | Score: 63/100 | Precio: $12.40 → Target: $10.73 (Upside: -13%) | FORTALEZAS: alta calidad (ROE 13.7%, margen 39.3%); fuerte momentum (retorno 12M: 148.3%) | ESTRATEGIA: Largo plazo (value-quality) - empresa dominante a buen precio</t>
        </is>
      </c>
    </row>
    <row r="27">
      <c r="A27" s="5" t="inlineStr">
        <is>
          <t>EC</t>
        </is>
      </c>
      <c r="B27" s="6" t="inlineStr">
        <is>
          <t>Ecopetrol S.A.</t>
        </is>
      </c>
      <c r="C27" s="6" t="inlineStr">
        <is>
          <t>Energia Oil</t>
        </is>
      </c>
      <c r="D27" s="7" t="n">
        <v>12.5</v>
      </c>
      <c r="E27" s="8">
        <f>ROUND(L27*0.105+M27*0.158+N27*0.421+O27*0.053+P27*0.137+Q27*0.126,1)</f>
        <v/>
      </c>
      <c r="F27" s="9" t="inlineStr">
        <is>
          <t>HOLD</t>
        </is>
      </c>
      <c r="G27" s="10" t="n">
        <v>9.800000000000001</v>
      </c>
      <c r="H27" s="6" t="inlineStr">
        <is>
          <t>-</t>
        </is>
      </c>
      <c r="I27" s="6" t="inlineStr">
        <is>
          <t>-</t>
        </is>
      </c>
      <c r="J27" s="10" t="inlineStr">
        <is>
          <t>1460</t>
        </is>
      </c>
      <c r="K27" s="10" t="inlineStr">
        <is>
          <t>3831470.0</t>
        </is>
      </c>
      <c r="L27" s="11" t="n">
        <v>79</v>
      </c>
      <c r="M27" s="11" t="n">
        <v>48</v>
      </c>
      <c r="N27" s="11" t="n">
        <v>71</v>
      </c>
      <c r="O27" s="11" t="n">
        <v>69</v>
      </c>
      <c r="P27" s="11" t="n">
        <v>50</v>
      </c>
      <c r="Q27" s="11" t="n">
        <v>50</v>
      </c>
      <c r="R27" s="12" t="inlineStr">
        <is>
          <t>MANTENER EC | Score: 63/100 | Precio: $12.50 → Target: $9.93 (Upside: -21%) | FORTALEZAS: valoración atractiva (P/E 9.8x); fuerte momentum (retorno 12M: 64.3%); baja volatilidad (beta 0.13, vol 37.2%)</t>
        </is>
      </c>
    </row>
    <row r="28">
      <c r="A28" s="5" t="inlineStr">
        <is>
          <t>BIIB</t>
        </is>
      </c>
      <c r="B28" s="6" t="inlineStr">
        <is>
          <t>Biogen Inc.</t>
        </is>
      </c>
      <c r="C28" s="6" t="inlineStr">
        <is>
          <t>Biotech</t>
        </is>
      </c>
      <c r="D28" s="7" t="n">
        <v>171.59</v>
      </c>
      <c r="E28" s="8">
        <f>ROUND(L28*0.105+M28*0.158+N28*0.421+O28*0.053+P28*0.137+Q28*0.126,1)</f>
        <v/>
      </c>
      <c r="F28" s="8" t="inlineStr">
        <is>
          <t>STRONG BUY</t>
        </is>
      </c>
      <c r="G28" s="10" t="n">
        <v>11.3</v>
      </c>
      <c r="H28" s="10" t="n">
        <v>8.199999999999999</v>
      </c>
      <c r="I28" s="10" t="n">
        <v>0.8</v>
      </c>
      <c r="J28" s="10" t="inlineStr">
        <is>
          <t>930</t>
        </is>
      </c>
      <c r="K28" s="10" t="inlineStr">
        <is>
          <t>850.0</t>
        </is>
      </c>
      <c r="L28" s="11" t="n">
        <v>77</v>
      </c>
      <c r="M28" s="11" t="n">
        <v>48</v>
      </c>
      <c r="N28" s="11" t="n">
        <v>69</v>
      </c>
      <c r="O28" s="11" t="n">
        <v>73</v>
      </c>
      <c r="P28" s="11" t="n">
        <v>50</v>
      </c>
      <c r="Q28" s="11" t="n">
        <v>50</v>
      </c>
      <c r="R28" s="12" t="inlineStr">
        <is>
          <t>COMPRA FUERTE BIIB | Score: 62/100 | Precio: $171.59 → Target: $192.14 (Upside: +12%) | FORTALEZAS: valoración atractiva (P/E 11.3x, EV/EBITDA 8.2x); fuerte momentum (retorno 12M: 17.4%); baja volatilidad (beta 0.13, vol 33.3%) | ESTRATEGIA: Corto plazo (trading) - momentum fuerte + catalizador | GESTIÓN RIESGO: Stop $157.86 (-8%), Target 1 $197.33 (+15%)</t>
        </is>
      </c>
    </row>
    <row r="29">
      <c r="A29" s="5" t="inlineStr">
        <is>
          <t>LLY</t>
        </is>
      </c>
      <c r="B29" s="6" t="inlineStr">
        <is>
          <t>Eli Lilly and Company</t>
        </is>
      </c>
      <c r="C29" s="6" t="inlineStr">
        <is>
          <t>Pharma</t>
        </is>
      </c>
      <c r="D29" s="7" t="n">
        <v>1064.29</v>
      </c>
      <c r="E29" s="8">
        <f>ROUND(L29*0.105+M29*0.158+N29*0.421+O29*0.053+P29*0.137+Q29*0.126,1)</f>
        <v/>
      </c>
      <c r="F29" s="8" t="inlineStr">
        <is>
          <t>BUY</t>
        </is>
      </c>
      <c r="G29" s="13" t="n">
        <v>32.5</v>
      </c>
      <c r="H29" s="13" t="n">
        <v>34.3</v>
      </c>
      <c r="I29" s="10" t="n">
        <v>1.1</v>
      </c>
      <c r="J29" s="10" t="inlineStr">
        <is>
          <t>9650</t>
        </is>
      </c>
      <c r="K29" s="10" t="inlineStr">
        <is>
          <t>10.0</t>
        </is>
      </c>
      <c r="L29" s="11" t="n">
        <v>18</v>
      </c>
      <c r="M29" s="11" t="n">
        <v>76</v>
      </c>
      <c r="N29" s="11" t="n">
        <v>75</v>
      </c>
      <c r="O29" s="11" t="n">
        <v>59</v>
      </c>
      <c r="P29" s="11" t="n">
        <v>50</v>
      </c>
      <c r="Q29" s="11" t="n">
        <v>50</v>
      </c>
      <c r="R29" s="12" t="inlineStr">
        <is>
          <t>COMPRA LLY | Score: 62/100 | Precio: $1064.29 → Target: $1110.71 (Upside: +4%) | FORTALEZAS: alta calidad (ROE 96.5%, margen 48.3%); fuerte momentum (retorno 12M: 36.5%) | DEBILIDADES: valoración cara (P/E 32.5x, EV/EBITDA 34.3x) | ESTRATEGIA: Corto plazo (trading) - momentum fuerte + catalizador | GESTIÓN RIESGO: Stop $979.15 (-8%), Target 1 $1223.93 (+15%)</t>
        </is>
      </c>
    </row>
    <row r="30">
      <c r="A30" s="5" t="inlineStr">
        <is>
          <t>REGN</t>
        </is>
      </c>
      <c r="B30" s="6" t="inlineStr">
        <is>
          <t>Regeneron Pharmaceuticals</t>
        </is>
      </c>
      <c r="C30" s="6" t="inlineStr">
        <is>
          <t>Biotech</t>
        </is>
      </c>
      <c r="D30" s="7" t="n">
        <v>753.55</v>
      </c>
      <c r="E30" s="8">
        <f>ROUND(L30*0.105+M30*0.158+N30*0.421+O30*0.053+P30*0.137+Q30*0.126,1)</f>
        <v/>
      </c>
      <c r="F30" s="8" t="inlineStr">
        <is>
          <t>STRONG BUY</t>
        </is>
      </c>
      <c r="G30" s="6" t="n">
        <v>16.8</v>
      </c>
      <c r="H30" s="6" t="n">
        <v>16.5</v>
      </c>
      <c r="I30" s="10" t="n">
        <v>-1.3</v>
      </c>
      <c r="J30" s="10" t="inlineStr">
        <is>
          <t>1520</t>
        </is>
      </c>
      <c r="K30" s="10" t="inlineStr">
        <is>
          <t>440.0</t>
        </is>
      </c>
      <c r="L30" s="11" t="n">
        <v>60</v>
      </c>
      <c r="M30" s="11" t="n">
        <v>66</v>
      </c>
      <c r="N30" s="11" t="n">
        <v>67</v>
      </c>
      <c r="O30" s="11" t="n">
        <v>56</v>
      </c>
      <c r="P30" s="11" t="n">
        <v>50</v>
      </c>
      <c r="Q30" s="11" t="n">
        <v>50</v>
      </c>
      <c r="R30" s="12" t="inlineStr">
        <is>
          <t>COMPRA FUERTE REGN | Score: 61/100 | Precio: $753.55 → Target: $830.04 (Upside: +10%) | FORTALEZAS: alta calidad (ROE 15.2%, margen 29.6%); fuerte momentum (retorno 12M: 12.1%) | ESTRATEGIA: Corto plazo (trading) - momentum fuerte + catalizador | GESTIÓN RIESGO: Stop $693.27 (-8%), Target 1 $866.58 (+15%)</t>
        </is>
      </c>
    </row>
    <row r="31">
      <c r="A31" s="5" t="inlineStr">
        <is>
          <t>LAC</t>
        </is>
      </c>
      <c r="B31" s="6" t="inlineStr">
        <is>
          <t>Lithium Americas Corp.</t>
        </is>
      </c>
      <c r="C31" s="6" t="inlineStr">
        <is>
          <t>Cobre Litio</t>
        </is>
      </c>
      <c r="D31" s="7" t="n">
        <v>6.44</v>
      </c>
      <c r="E31" s="8">
        <f>ROUND(L31*0.105+M31*0.158+N31*0.421+O31*0.053+P31*0.137+Q31*0.126,1)</f>
        <v/>
      </c>
      <c r="F31" s="9" t="inlineStr">
        <is>
          <t>HOLD</t>
        </is>
      </c>
      <c r="G31" s="10" t="n">
        <v>-17.2</v>
      </c>
      <c r="H31" s="10" t="n">
        <v>-70.5</v>
      </c>
      <c r="I31" s="6" t="inlineStr">
        <is>
          <t>-</t>
        </is>
      </c>
      <c r="J31" s="13" t="inlineStr">
        <is>
          <t>-3200</t>
        </is>
      </c>
      <c r="K31" s="13" t="inlineStr">
        <is>
          <t>-2700.0</t>
        </is>
      </c>
      <c r="L31" s="11" t="n">
        <v>67</v>
      </c>
      <c r="M31" s="11" t="n">
        <v>34</v>
      </c>
      <c r="N31" s="11" t="n">
        <v>84</v>
      </c>
      <c r="O31" s="11" t="n">
        <v>1</v>
      </c>
      <c r="P31" s="11" t="n">
        <v>50</v>
      </c>
      <c r="Q31" s="11" t="n">
        <v>50</v>
      </c>
      <c r="R31" s="12" t="inlineStr">
        <is>
          <t>MANTENER LAC | Score: 61/100 | Precio: $6.44 → Target: $6.39 (Upside: -1%) | FORTALEZAS: valoración atractiva (P/E -17.2x, EV/EBITDA -70.5x); fuerte momentum (retorno 12M: 104.4%) | DEBILIDADES: baja calidad operativa (ROE bajo, márgenes débiles); alta volatilidad (beta 3.52, vol 129.0%)</t>
        </is>
      </c>
    </row>
    <row r="32">
      <c r="A32" s="5" t="inlineStr">
        <is>
          <t>HSBC</t>
        </is>
      </c>
      <c r="B32" s="6" t="inlineStr">
        <is>
          <t>HSBC Holdings, plc.</t>
        </is>
      </c>
      <c r="C32" s="6" t="inlineStr">
        <is>
          <t>Europa Financieras</t>
        </is>
      </c>
      <c r="D32" s="7" t="n">
        <v>83.94</v>
      </c>
      <c r="E32" s="8">
        <f>ROUND(L32*0.105+M32*0.158+N32*0.421+O32*0.053+P32*0.137+Q32*0.126,1)</f>
        <v/>
      </c>
      <c r="F32" s="8" t="inlineStr">
        <is>
          <t>BUY</t>
        </is>
      </c>
      <c r="G32" s="10" t="n">
        <v>10.1</v>
      </c>
      <c r="H32" s="6" t="inlineStr">
        <is>
          <t>-</t>
        </is>
      </c>
      <c r="I32" s="10" t="n">
        <v>-374343008256</v>
      </c>
      <c r="J32" s="10" t="inlineStr">
        <is>
          <t>930</t>
        </is>
      </c>
      <c r="K32" s="6" t="inlineStr">
        <is>
          <t>-</t>
        </is>
      </c>
      <c r="L32" s="11" t="n">
        <v>61</v>
      </c>
      <c r="M32" s="11" t="n">
        <v>69</v>
      </c>
      <c r="N32" s="11" t="n">
        <v>61</v>
      </c>
      <c r="O32" s="11" t="n">
        <v>78</v>
      </c>
      <c r="P32" s="11" t="n">
        <v>50</v>
      </c>
      <c r="Q32" s="11" t="n">
        <v>50</v>
      </c>
      <c r="R32" s="12" t="inlineStr">
        <is>
          <t>COMPRA HSBC | Score: 60/100 | Precio: $83.94 → Target: $85.44 (Upside: +2%) | FORTALEZAS: alta calidad (ROE 9.3%, margen 40.0%); baja volatilidad (beta 0.43, vol 25.1%) | ESTRATEGIA: Medio plazo (swing) - calidad + valoración | GESTIÓN RIESGO: Stop $77.22 (-8%), Target 1 $96.53 (+15%)</t>
        </is>
      </c>
    </row>
    <row r="33">
      <c r="A33" s="5" t="inlineStr">
        <is>
          <t>ITUB</t>
        </is>
      </c>
      <c r="B33" s="6" t="inlineStr">
        <is>
          <t>Itau Unibanco Banco Holdi</t>
        </is>
      </c>
      <c r="C33" s="6" t="inlineStr">
        <is>
          <t>Latam</t>
        </is>
      </c>
      <c r="D33" s="7" t="n">
        <v>8.289999999999999</v>
      </c>
      <c r="E33" s="8">
        <f>ROUND(L33*0.105+M33*0.158+N33*0.421+O33*0.053+P33*0.137+Q33*0.126,1)</f>
        <v/>
      </c>
      <c r="F33" s="9" t="inlineStr">
        <is>
          <t>HOLD</t>
        </is>
      </c>
      <c r="G33" s="10" t="n">
        <v>10.1</v>
      </c>
      <c r="H33" s="6" t="inlineStr">
        <is>
          <t>-</t>
        </is>
      </c>
      <c r="I33" s="13" t="n">
        <v>578432008192</v>
      </c>
      <c r="J33" s="10" t="inlineStr">
        <is>
          <t>2110</t>
        </is>
      </c>
      <c r="K33" s="6" t="inlineStr">
        <is>
          <t>-</t>
        </is>
      </c>
      <c r="L33" s="11" t="n">
        <v>62</v>
      </c>
      <c r="M33" s="11" t="n">
        <v>48</v>
      </c>
      <c r="N33" s="11" t="n">
        <v>68</v>
      </c>
      <c r="O33" s="11" t="n">
        <v>85</v>
      </c>
      <c r="P33" s="11" t="n">
        <v>50</v>
      </c>
      <c r="Q33" s="11" t="n">
        <v>50</v>
      </c>
      <c r="R33" s="12" t="inlineStr">
        <is>
          <t>MANTENER ITUB | Score: 60/100 | Precio: $8.29 → Target: $7.65 (Upside: -8%) | FORTALEZAS: fuerte momentum (retorno 12M: 94.9%); baja volatilidad (beta 0.07, vol 27.6%)</t>
        </is>
      </c>
    </row>
    <row r="34">
      <c r="A34" s="5" t="inlineStr">
        <is>
          <t>SQM</t>
        </is>
      </c>
      <c r="B34" s="6" t="inlineStr">
        <is>
          <t>Sociedad Quimica y Minera</t>
        </is>
      </c>
      <c r="C34" s="6" t="inlineStr">
        <is>
          <t>Cobre Litio</t>
        </is>
      </c>
      <c r="D34" s="7" t="n">
        <v>85.43000000000001</v>
      </c>
      <c r="E34" s="8">
        <f>ROUND(L34*0.105+M34*0.158+N34*0.421+O34*0.053+P34*0.137+Q34*0.126,1)</f>
        <v/>
      </c>
      <c r="F34" s="9" t="inlineStr">
        <is>
          <t>HOLD</t>
        </is>
      </c>
      <c r="G34" s="6" t="n">
        <v>21.7</v>
      </c>
      <c r="H34" s="13" t="n">
        <v>20.7</v>
      </c>
      <c r="I34" s="10" t="n">
        <v>1.8</v>
      </c>
      <c r="J34" s="10" t="inlineStr">
        <is>
          <t>1000</t>
        </is>
      </c>
      <c r="K34" s="13" t="inlineStr">
        <is>
          <t>-10.0</t>
        </is>
      </c>
      <c r="L34" s="11" t="n">
        <v>32</v>
      </c>
      <c r="M34" s="11" t="n">
        <v>39</v>
      </c>
      <c r="N34" s="11" t="n">
        <v>85</v>
      </c>
      <c r="O34" s="11" t="n">
        <v>32</v>
      </c>
      <c r="P34" s="11" t="n">
        <v>50</v>
      </c>
      <c r="Q34" s="11" t="n">
        <v>50</v>
      </c>
      <c r="R34" s="12" t="inlineStr">
        <is>
          <t>MANTENER SQM | Score: 60/100 | Precio: $85.43 → Target: $74.00 (Upside: -13%) | FORTALEZAS: fuerte momentum (retorno 12M: 117.9%) | DEBILIDADES: valoración cara (P/E 21.7x, EV/EBITDA 20.7x); alta volatilidad (beta 1.01, vol 48.7%)</t>
        </is>
      </c>
    </row>
    <row r="35">
      <c r="A35" s="5" t="inlineStr">
        <is>
          <t>BA.L</t>
        </is>
      </c>
      <c r="B35" s="6" t="inlineStr">
        <is>
          <t>BAE SYSTEMS PLC ORD 2.5P</t>
        </is>
      </c>
      <c r="C35" s="6" t="inlineStr">
        <is>
          <t>Defensa</t>
        </is>
      </c>
      <c r="D35" s="7" t="n">
        <v>2027</v>
      </c>
      <c r="E35" s="8">
        <f>ROUND(L35*0.105+M35*0.158+N35*0.421+O35*0.053+P35*0.137+Q35*0.126,1)</f>
        <v/>
      </c>
      <c r="F35" s="8" t="inlineStr">
        <is>
          <t>BUY</t>
        </is>
      </c>
      <c r="G35" s="6" t="n">
        <v>24.2</v>
      </c>
      <c r="H35" s="13" t="n">
        <v>20.3</v>
      </c>
      <c r="I35" s="6" t="n">
        <v>2.2</v>
      </c>
      <c r="J35" s="10" t="inlineStr">
        <is>
          <t>1840</t>
        </is>
      </c>
      <c r="K35" s="10" t="inlineStr">
        <is>
          <t>280.0</t>
        </is>
      </c>
      <c r="L35" s="11" t="n">
        <v>41</v>
      </c>
      <c r="M35" s="11" t="n">
        <v>36</v>
      </c>
      <c r="N35" s="11" t="n">
        <v>67</v>
      </c>
      <c r="O35" s="11" t="n">
        <v>74</v>
      </c>
      <c r="P35" s="11" t="n">
        <v>50</v>
      </c>
      <c r="Q35" s="11" t="n">
        <v>50</v>
      </c>
      <c r="R35" s="12" t="inlineStr">
        <is>
          <t>COMPRA BA.L | Score: 60/100 | Precio: $2027.00 → Target: $2135.11 (Upside: +5%) | FORTALEZAS: fuerte momentum (retorno 12M: 61.1%); baja volatilidad (beta -0.05, vol 33.9%) | ESTRATEGIA: Corto plazo (trading) - momentum fuerte + catalizador | GESTIÓN RIESGO: Stop $1864.84 (-8%), Target 1 $2331.05 (+15%)</t>
        </is>
      </c>
    </row>
    <row r="36">
      <c r="A36" s="5" t="inlineStr">
        <is>
          <t>XOM</t>
        </is>
      </c>
      <c r="B36" s="6" t="inlineStr">
        <is>
          <t>Exxon Mobil Corporation</t>
        </is>
      </c>
      <c r="C36" s="6" t="inlineStr">
        <is>
          <t>Energia Oil</t>
        </is>
      </c>
      <c r="D36" s="7" t="n">
        <v>134.97</v>
      </c>
      <c r="E36" s="8">
        <f>ROUND(L36*0.105+M36*0.158+N36*0.421+O36*0.053+P36*0.137+Q36*0.126,1)</f>
        <v/>
      </c>
      <c r="F36" s="9" t="inlineStr">
        <is>
          <t>HOLD</t>
        </is>
      </c>
      <c r="G36" s="6" t="n">
        <v>19.5</v>
      </c>
      <c r="H36" s="10" t="n">
        <v>9.800000000000001</v>
      </c>
      <c r="I36" s="10" t="n">
        <v>0.5</v>
      </c>
      <c r="J36" s="10" t="inlineStr">
        <is>
          <t>1140</t>
        </is>
      </c>
      <c r="K36" s="10" t="inlineStr">
        <is>
          <t>300.0</t>
        </is>
      </c>
      <c r="L36" s="11" t="n">
        <v>57</v>
      </c>
      <c r="M36" s="11" t="n">
        <v>39</v>
      </c>
      <c r="N36" s="11" t="n">
        <v>56</v>
      </c>
      <c r="O36" s="11" t="n">
        <v>83</v>
      </c>
      <c r="P36" s="14" t="n">
        <v>100</v>
      </c>
      <c r="Q36" s="11" t="n">
        <v>50</v>
      </c>
      <c r="R36" s="12" t="inlineStr">
        <is>
          <t>MANTENER XOM | Score: 60/100 | Precio: $134.97 → Target: $132.48 (Upside: -2%) | FORTALEZAS: baja volatilidad (beta 0.36, vol 24.2%); congresistas comprando recientemente</t>
        </is>
      </c>
    </row>
    <row r="37">
      <c r="A37" s="5" t="inlineStr">
        <is>
          <t>DB</t>
        </is>
      </c>
      <c r="B37" s="6" t="inlineStr">
        <is>
          <t>Deutsche Bank AG</t>
        </is>
      </c>
      <c r="C37" s="6" t="inlineStr">
        <is>
          <t>Europa Financieras</t>
        </is>
      </c>
      <c r="D37" s="7" t="n">
        <v>39.08</v>
      </c>
      <c r="E37" s="15">
        <f>ROUND(L37*0.105+M37*0.158+N37*0.421+O37*0.053+P37*0.137+Q37*0.126,1)</f>
        <v/>
      </c>
      <c r="F37" s="15" t="inlineStr">
        <is>
          <t>ACCUMULATE</t>
        </is>
      </c>
      <c r="G37" s="10" t="n">
        <v>8.6</v>
      </c>
      <c r="H37" s="6" t="inlineStr">
        <is>
          <t>-</t>
        </is>
      </c>
      <c r="I37" s="10" t="n">
        <v>-107534024704</v>
      </c>
      <c r="J37" s="10" t="inlineStr">
        <is>
          <t>760</t>
        </is>
      </c>
      <c r="K37" s="6" t="inlineStr">
        <is>
          <t>-</t>
        </is>
      </c>
      <c r="L37" s="11" t="n">
        <v>63</v>
      </c>
      <c r="M37" s="11" t="n">
        <v>63</v>
      </c>
      <c r="N37" s="11" t="n">
        <v>66</v>
      </c>
      <c r="O37" s="11" t="n">
        <v>40</v>
      </c>
      <c r="P37" s="11" t="n">
        <v>50</v>
      </c>
      <c r="Q37" s="11" t="n">
        <v>50</v>
      </c>
      <c r="R37" s="12" t="inlineStr">
        <is>
          <t>ACUMULAR DB | Score: 60/100 | Precio: $39.08 → Target: $42.90 (Upside: +10%) | FORTALEZAS: fuerte momentum (retorno 12M: 100.8%) | ESTRATEGIA: Ir acumulando gradualmente en debilidad</t>
        </is>
      </c>
    </row>
    <row r="38">
      <c r="A38" s="5" t="inlineStr">
        <is>
          <t>SPG</t>
        </is>
      </c>
      <c r="B38" s="6" t="inlineStr">
        <is>
          <t>Simon Property Group, Inc</t>
        </is>
      </c>
      <c r="C38" s="6" t="inlineStr">
        <is>
          <t>REITs</t>
        </is>
      </c>
      <c r="D38" s="7" t="n">
        <v>184.73</v>
      </c>
      <c r="E38" s="15">
        <f>ROUND(L38*0.105+M38*0.158+N38*0.421+O38*0.053+P38*0.137+Q38*0.126,1)</f>
        <v/>
      </c>
      <c r="F38" s="15" t="inlineStr">
        <is>
          <t>ACCUMULATE</t>
        </is>
      </c>
      <c r="G38" s="6" t="n">
        <v>26.8</v>
      </c>
      <c r="H38" s="6" t="n">
        <v>18.8</v>
      </c>
      <c r="I38" s="13" t="n">
        <v>5.4</v>
      </c>
      <c r="J38" s="10" t="inlineStr">
        <is>
          <t>8250</t>
        </is>
      </c>
      <c r="K38" s="10" t="inlineStr">
        <is>
          <t>290.0</t>
        </is>
      </c>
      <c r="L38" s="11" t="n">
        <v>41</v>
      </c>
      <c r="M38" s="11" t="n">
        <v>67</v>
      </c>
      <c r="N38" s="11" t="n">
        <v>68</v>
      </c>
      <c r="O38" s="11" t="n">
        <v>50</v>
      </c>
      <c r="P38" s="11" t="n">
        <v>50</v>
      </c>
      <c r="Q38" s="11" t="n">
        <v>50</v>
      </c>
      <c r="R38" s="12" t="inlineStr">
        <is>
          <t>ACUMULAR SPG | Score: 59/100 | Precio: $184.73 → Target: $197.15 (Upside: +7%) | FORTALEZAS: alta calidad (ROE 82.5%, margen 50.8%); fuerte momentum (retorno 12M: 11.4%) | ESTRATEGIA: Ir acumulando gradualmente en debilidad</t>
        </is>
      </c>
    </row>
    <row r="39">
      <c r="A39" s="5" t="inlineStr">
        <is>
          <t>VRTX</t>
        </is>
      </c>
      <c r="B39" s="6" t="inlineStr">
        <is>
          <t>Vertex Pharmaceuticals In</t>
        </is>
      </c>
      <c r="C39" s="6" t="inlineStr">
        <is>
          <t>Biotech</t>
        </is>
      </c>
      <c r="D39" s="7" t="n">
        <v>468.41</v>
      </c>
      <c r="E39" s="15">
        <f>ROUND(L39*0.105+M39*0.158+N39*0.421+O39*0.053+P39*0.137+Q39*0.126,1)</f>
        <v/>
      </c>
      <c r="F39" s="15" t="inlineStr">
        <is>
          <t>ACCUMULATE</t>
        </is>
      </c>
      <c r="G39" s="6" t="n">
        <v>23.2</v>
      </c>
      <c r="H39" s="13" t="n">
        <v>24.3</v>
      </c>
      <c r="I39" s="10" t="n">
        <v>-0.9</v>
      </c>
      <c r="J39" s="10" t="inlineStr">
        <is>
          <t>2230</t>
        </is>
      </c>
      <c r="K39" s="10" t="inlineStr">
        <is>
          <t>240.0</t>
        </is>
      </c>
      <c r="L39" s="11" t="n">
        <v>36</v>
      </c>
      <c r="M39" s="11" t="n">
        <v>76</v>
      </c>
      <c r="N39" s="11" t="n">
        <v>63</v>
      </c>
      <c r="O39" s="11" t="n">
        <v>66</v>
      </c>
      <c r="P39" s="11" t="n">
        <v>50</v>
      </c>
      <c r="Q39" s="11" t="n">
        <v>50</v>
      </c>
      <c r="R39" s="12" t="inlineStr">
        <is>
          <t>ACUMULAR VRTX | Score: 59/100 | Precio: $468.41 → Target: $506.24 (Upside: +8%) | FORTALEZAS: alta calidad (ROE 22.3%, margen 40.3%); baja volatilidad (beta 0.31, vol 34.0%) | ESTRATEGIA: Ir acumulando gradualmente en debilidad</t>
        </is>
      </c>
    </row>
    <row r="40">
      <c r="A40" s="5" t="inlineStr">
        <is>
          <t>VALE</t>
        </is>
      </c>
      <c r="B40" s="6" t="inlineStr">
        <is>
          <t>VALE S.A.</t>
        </is>
      </c>
      <c r="C40" s="6" t="inlineStr">
        <is>
          <t>Latam</t>
        </is>
      </c>
      <c r="D40" s="7" t="n">
        <v>16.18</v>
      </c>
      <c r="E40" s="15">
        <f>ROUND(L40*0.105+M40*0.158+N40*0.421+O40*0.053+P40*0.137+Q40*0.126,1)</f>
        <v/>
      </c>
      <c r="F40" s="9" t="inlineStr">
        <is>
          <t>HOLD</t>
        </is>
      </c>
      <c r="G40" s="10" t="n">
        <v>7.5</v>
      </c>
      <c r="H40" s="10" t="n">
        <v>2.1</v>
      </c>
      <c r="I40" s="10" t="n">
        <v>1.1</v>
      </c>
      <c r="J40" s="10" t="inlineStr">
        <is>
          <t>1330</t>
        </is>
      </c>
      <c r="K40" s="13" t="inlineStr">
        <is>
          <t>-140.0</t>
        </is>
      </c>
      <c r="L40" s="11" t="n">
        <v>64</v>
      </c>
      <c r="M40" s="11" t="n">
        <v>50</v>
      </c>
      <c r="N40" s="11" t="n">
        <v>67</v>
      </c>
      <c r="O40" s="11" t="n">
        <v>58</v>
      </c>
      <c r="P40" s="11" t="n">
        <v>50</v>
      </c>
      <c r="Q40" s="11" t="n">
        <v>50</v>
      </c>
      <c r="R40" s="12" t="inlineStr">
        <is>
          <t>MANTENER VALE | Score: 59/100 | Precio: $16.18 → Target: $14.70 (Upside: -9%) | FORTALEZAS: fuerte momentum (retorno 12M: 93.6%)</t>
        </is>
      </c>
    </row>
    <row r="41">
      <c r="A41" s="5" t="inlineStr">
        <is>
          <t>BBVA</t>
        </is>
      </c>
      <c r="B41" s="6" t="inlineStr">
        <is>
          <t>Banco Bilbao Vizcaya Arge</t>
        </is>
      </c>
      <c r="C41" s="6" t="inlineStr">
        <is>
          <t>Europa Financieras</t>
        </is>
      </c>
      <c r="D41" s="7" t="n">
        <v>24.97</v>
      </c>
      <c r="E41" s="15">
        <f>ROUND(L41*0.105+M41*0.158+N41*0.421+O41*0.053+P41*0.137+Q41*0.126,1)</f>
        <v/>
      </c>
      <c r="F41" s="9" t="inlineStr">
        <is>
          <t>HOLD</t>
        </is>
      </c>
      <c r="G41" s="10" t="n">
        <v>12.3</v>
      </c>
      <c r="H41" s="6" t="inlineStr">
        <is>
          <t>-</t>
        </is>
      </c>
      <c r="I41" s="13" t="n">
        <v>17038999552</v>
      </c>
      <c r="J41" s="10" t="inlineStr">
        <is>
          <t>1860</t>
        </is>
      </c>
      <c r="K41" s="6" t="inlineStr">
        <is>
          <t>-</t>
        </is>
      </c>
      <c r="L41" s="11" t="n">
        <v>59</v>
      </c>
      <c r="M41" s="11" t="n">
        <v>52</v>
      </c>
      <c r="N41" s="11" t="n">
        <v>68</v>
      </c>
      <c r="O41" s="11" t="n">
        <v>48</v>
      </c>
      <c r="P41" s="11" t="n">
        <v>50</v>
      </c>
      <c r="Q41" s="11" t="n">
        <v>50</v>
      </c>
      <c r="R41" s="12" t="inlineStr">
        <is>
          <t>MANTENER BBVA | Score: 59/100 | Precio: $24.97 → Target: $24.28 (Upside: -3%) | FORTALEZAS: fuerte momentum (retorno 12M: 131.7%)</t>
        </is>
      </c>
    </row>
    <row r="42">
      <c r="A42" s="5" t="inlineStr">
        <is>
          <t>NU</t>
        </is>
      </c>
      <c r="B42" s="6" t="inlineStr">
        <is>
          <t>Nu Holdings Ltd.</t>
        </is>
      </c>
      <c r="C42" s="6" t="inlineStr">
        <is>
          <t>Latam</t>
        </is>
      </c>
      <c r="D42" s="7" t="n">
        <v>18.04</v>
      </c>
      <c r="E42" s="15">
        <f>ROUND(L42*0.105+M42*0.158+N42*0.421+O42*0.053+P42*0.137+Q42*0.126,1)</f>
        <v/>
      </c>
      <c r="F42" s="15" t="inlineStr">
        <is>
          <t>ACCUMULATE</t>
        </is>
      </c>
      <c r="G42" s="6" t="n">
        <v>19.8</v>
      </c>
      <c r="H42" s="6" t="inlineStr">
        <is>
          <t>-</t>
        </is>
      </c>
      <c r="I42" s="10" t="n">
        <v>-9903684608</v>
      </c>
      <c r="J42" s="10" t="inlineStr">
        <is>
          <t>2780</t>
        </is>
      </c>
      <c r="K42" s="6" t="inlineStr">
        <is>
          <t>-</t>
        </is>
      </c>
      <c r="L42" s="11" t="n">
        <v>50</v>
      </c>
      <c r="M42" s="11" t="n">
        <v>89</v>
      </c>
      <c r="N42" s="11" t="n">
        <v>59</v>
      </c>
      <c r="O42" s="11" t="n">
        <v>32</v>
      </c>
      <c r="P42" s="11" t="n">
        <v>50</v>
      </c>
      <c r="Q42" s="11" t="n">
        <v>50</v>
      </c>
      <c r="R42" s="12" t="inlineStr">
        <is>
          <t>ACUMULAR NU | Score: 59/100 | Precio: $18.04 → Target: $19.82 (Upside: +10%) | FORTALEZAS: alta calidad (ROE 27.8%, margen 58.2%) | DEBILIDADES: alta volatilidad (beta 1.08, vol 44.5%) | ESTRATEGIA: Ir acumulando gradualmente en debilidad</t>
        </is>
      </c>
    </row>
    <row r="43">
      <c r="A43" s="5" t="inlineStr">
        <is>
          <t>AMX</t>
        </is>
      </c>
      <c r="B43" s="6" t="inlineStr">
        <is>
          <t xml:space="preserve">America Movil, S.A.B. de </t>
        </is>
      </c>
      <c r="C43" s="6" t="inlineStr">
        <is>
          <t>Latam</t>
        </is>
      </c>
      <c r="D43" s="7" t="n">
        <v>20.76</v>
      </c>
      <c r="E43" s="15">
        <f>ROUND(L43*0.105+M43*0.158+N43*0.421+O43*0.053+P43*0.137+Q43*0.126,1)</f>
        <v/>
      </c>
      <c r="F43" s="15" t="inlineStr">
        <is>
          <t>ACCUMULATE</t>
        </is>
      </c>
      <c r="G43" s="10" t="n">
        <v>12.3</v>
      </c>
      <c r="H43" s="10" t="n">
        <v>6.2</v>
      </c>
      <c r="I43" s="6" t="n">
        <v>2.1</v>
      </c>
      <c r="J43" s="10" t="inlineStr">
        <is>
          <t>1570</t>
        </is>
      </c>
      <c r="K43" s="10" t="inlineStr">
        <is>
          <t>17960.0</t>
        </is>
      </c>
      <c r="L43" s="11" t="n">
        <v>83</v>
      </c>
      <c r="M43" s="11" t="n">
        <v>43</v>
      </c>
      <c r="N43" s="11" t="n">
        <v>61</v>
      </c>
      <c r="O43" s="11" t="n">
        <v>86</v>
      </c>
      <c r="P43" s="11" t="n">
        <v>50</v>
      </c>
      <c r="Q43" s="11" t="n">
        <v>50</v>
      </c>
      <c r="R43" s="12" t="inlineStr">
        <is>
          <t>ACUMULAR AMX | Score: 59/100 | Precio: $20.76 → Target: $23.40 (Upside: +13%) | FORTALEZAS: valoración atractiva (P/E 12.3x, EV/EBITDA 6.2x); baja volatilidad (beta 0.30, vol 24.2%) | ESTRATEGIA: Ir acumulando gradualmente en debilidad</t>
        </is>
      </c>
    </row>
    <row r="44">
      <c r="A44" s="5" t="inlineStr">
        <is>
          <t>FCX</t>
        </is>
      </c>
      <c r="B44" s="6" t="inlineStr">
        <is>
          <t>Freeport-McMoRan, Inc.</t>
        </is>
      </c>
      <c r="C44" s="6" t="inlineStr">
        <is>
          <t>Cobre Litio</t>
        </is>
      </c>
      <c r="D44" s="7" t="n">
        <v>60.41</v>
      </c>
      <c r="E44" s="15">
        <f>ROUND(L44*0.105+M44*0.158+N44*0.421+O44*0.053+P44*0.137+Q44*0.126,1)</f>
        <v/>
      </c>
      <c r="F44" s="9" t="inlineStr">
        <is>
          <t>HOLD</t>
        </is>
      </c>
      <c r="G44" s="6" t="n">
        <v>19.1</v>
      </c>
      <c r="H44" s="6" t="n">
        <v>11.7</v>
      </c>
      <c r="I44" s="10" t="n">
        <v>0.8</v>
      </c>
      <c r="J44" s="10" t="inlineStr">
        <is>
          <t>1390</t>
        </is>
      </c>
      <c r="K44" s="10" t="inlineStr">
        <is>
          <t>160.0</t>
        </is>
      </c>
      <c r="L44" s="11" t="n">
        <v>51</v>
      </c>
      <c r="M44" s="11" t="n">
        <v>44</v>
      </c>
      <c r="N44" s="11" t="n">
        <v>76</v>
      </c>
      <c r="O44" s="11" t="n">
        <v>18</v>
      </c>
      <c r="P44" s="11" t="n">
        <v>50</v>
      </c>
      <c r="Q44" s="11" t="n">
        <v>50</v>
      </c>
      <c r="R44" s="12" t="inlineStr">
        <is>
          <t>MANTENER FCX | Score: 59/100 | Precio: $60.41 → Target: $59.22 (Upside: -2%) | FORTALEZAS: fuerte momentum (retorno 12M: 62.0%) | DEBILIDADES: alta volatilidad (beta 1.45, vol 49.4%)</t>
        </is>
      </c>
    </row>
    <row r="45">
      <c r="A45" s="5" t="inlineStr">
        <is>
          <t>BMY</t>
        </is>
      </c>
      <c r="B45" s="6" t="inlineStr">
        <is>
          <t>Bristol-Myers Squibb Comp</t>
        </is>
      </c>
      <c r="C45" s="6" t="inlineStr">
        <is>
          <t>Pharma</t>
        </is>
      </c>
      <c r="D45" s="7" t="n">
        <v>54.65</v>
      </c>
      <c r="E45" s="15">
        <f>ROUND(L45*0.105+M45*0.158+N45*0.421+O45*0.053+P45*0.137+Q45*0.126,1)</f>
        <v/>
      </c>
      <c r="F45" s="15" t="inlineStr">
        <is>
          <t>ACCUMULATE</t>
        </is>
      </c>
      <c r="G45" s="10" t="n">
        <v>9.1</v>
      </c>
      <c r="H45" s="10" t="n">
        <v>7.6</v>
      </c>
      <c r="I45" s="10" t="n">
        <v>1.8</v>
      </c>
      <c r="J45" s="10" t="inlineStr">
        <is>
          <t>3380</t>
        </is>
      </c>
      <c r="K45" s="10" t="inlineStr">
        <is>
          <t>1320.0</t>
        </is>
      </c>
      <c r="L45" s="11" t="n">
        <v>82</v>
      </c>
      <c r="M45" s="11" t="n">
        <v>61</v>
      </c>
      <c r="N45" s="11" t="n">
        <v>55</v>
      </c>
      <c r="O45" s="11" t="n">
        <v>76</v>
      </c>
      <c r="P45" s="11" t="n">
        <v>50</v>
      </c>
      <c r="Q45" s="11" t="n">
        <v>50</v>
      </c>
      <c r="R45" s="12" t="inlineStr">
        <is>
          <t>ACUMULAR BMY | Score: 58/100 | Precio: $54.65 → Target: $56.96 (Upside: +4%) | FORTALEZAS: valoración atractiva (P/E 9.1x, EV/EBITDA 7.6x); baja volatilidad (beta 0.29, vol 29.2%) | ESTRATEGIA: Ir acumulando gradualmente en debilidad</t>
        </is>
      </c>
    </row>
    <row r="46">
      <c r="A46" s="5" t="inlineStr">
        <is>
          <t>BSBR</t>
        </is>
      </c>
      <c r="B46" s="6" t="inlineStr">
        <is>
          <t>Banco Santander Brasil SA</t>
        </is>
      </c>
      <c r="C46" s="6" t="inlineStr">
        <is>
          <t>Latam</t>
        </is>
      </c>
      <c r="D46" s="7" t="n">
        <v>6.77</v>
      </c>
      <c r="E46" s="15">
        <f>ROUND(L46*0.105+M46*0.158+N46*0.421+O46*0.053+P46*0.137+Q46*0.126,1)</f>
        <v/>
      </c>
      <c r="F46" s="9" t="inlineStr">
        <is>
          <t>HOLD</t>
        </is>
      </c>
      <c r="G46" s="10" t="n">
        <v>8.1</v>
      </c>
      <c r="H46" s="6" t="inlineStr">
        <is>
          <t>-</t>
        </is>
      </c>
      <c r="I46" s="13" t="n">
        <v>155046641664</v>
      </c>
      <c r="J46" s="10" t="inlineStr">
        <is>
          <t>990</t>
        </is>
      </c>
      <c r="K46" s="6" t="inlineStr">
        <is>
          <t>-</t>
        </is>
      </c>
      <c r="L46" s="11" t="n">
        <v>64</v>
      </c>
      <c r="M46" s="11" t="n">
        <v>43</v>
      </c>
      <c r="N46" s="11" t="n">
        <v>66</v>
      </c>
      <c r="O46" s="11" t="n">
        <v>73</v>
      </c>
      <c r="P46" s="11" t="n">
        <v>50</v>
      </c>
      <c r="Q46" s="11" t="n">
        <v>50</v>
      </c>
      <c r="R46" s="12" t="inlineStr">
        <is>
          <t>MANTENER BSBR | Score: 58/100 | Precio: $6.77 → Target: $6.32 (Upside: -7%) | FORTALEZAS: fuerte momentum (retorno 12M: 64.8%); baja volatilidad (beta 0.24, vol 31.4%)</t>
        </is>
      </c>
    </row>
    <row r="47">
      <c r="A47" s="5" t="inlineStr">
        <is>
          <t>KO</t>
        </is>
      </c>
      <c r="B47" s="6" t="inlineStr">
        <is>
          <t>Coca-Cola Company (The)</t>
        </is>
      </c>
      <c r="C47" s="6" t="inlineStr">
        <is>
          <t>Defensivo</t>
        </is>
      </c>
      <c r="D47" s="7" t="n">
        <v>72.88</v>
      </c>
      <c r="E47" s="15">
        <f>ROUND(L47*0.105+M47*0.158+N47*0.421+O47*0.053+P47*0.137+Q47*0.126,1)</f>
        <v/>
      </c>
      <c r="F47" s="15" t="inlineStr">
        <is>
          <t>ACCUMULATE</t>
        </is>
      </c>
      <c r="G47" s="6" t="n">
        <v>22.6</v>
      </c>
      <c r="H47" s="13" t="n">
        <v>21.3</v>
      </c>
      <c r="I47" s="10" t="n">
        <v>2</v>
      </c>
      <c r="J47" s="10" t="inlineStr">
        <is>
          <t>4240</t>
        </is>
      </c>
      <c r="K47" s="10" t="inlineStr">
        <is>
          <t>50.0</t>
        </is>
      </c>
      <c r="L47" s="11" t="n">
        <v>31</v>
      </c>
      <c r="M47" s="11" t="n">
        <v>64</v>
      </c>
      <c r="N47" s="11" t="n">
        <v>64</v>
      </c>
      <c r="O47" s="11" t="n">
        <v>87</v>
      </c>
      <c r="P47" s="11" t="n">
        <v>50</v>
      </c>
      <c r="Q47" s="11" t="n">
        <v>50</v>
      </c>
      <c r="R47" s="12" t="inlineStr">
        <is>
          <t>ACUMULAR KO | Score: 58/100 | Precio: $72.88 → Target: $79.23 (Upside: +9%) | FORTALEZAS: baja volatilidad (beta 0.39, vol 17.9%) | DEBILIDADES: valoración cara (P/E 22.6x, EV/EBITDA 21.3x) | ESTRATEGIA: Ir acumulando gradualmente en debilidad</t>
        </is>
      </c>
    </row>
    <row r="48">
      <c r="A48" s="5" t="inlineStr">
        <is>
          <t>PFE</t>
        </is>
      </c>
      <c r="B48" s="6" t="inlineStr">
        <is>
          <t>Pfizer, Inc.</t>
        </is>
      </c>
      <c r="C48" s="6" t="inlineStr">
        <is>
          <t>Pharma</t>
        </is>
      </c>
      <c r="D48" s="7" t="n">
        <v>25.65</v>
      </c>
      <c r="E48" s="15">
        <f>ROUND(L48*0.105+M48*0.158+N48*0.421+O48*0.053+P48*0.137+Q48*0.126,1)</f>
        <v/>
      </c>
      <c r="F48" s="15" t="inlineStr">
        <is>
          <t>ACCUMULATE</t>
        </is>
      </c>
      <c r="G48" s="10" t="n">
        <v>8.6</v>
      </c>
      <c r="H48" s="10" t="n">
        <v>7.9</v>
      </c>
      <c r="I48" s="10" t="n">
        <v>1.9</v>
      </c>
      <c r="J48" s="10" t="inlineStr">
        <is>
          <t>1060</t>
        </is>
      </c>
      <c r="K48" s="10" t="inlineStr">
        <is>
          <t>980.0</t>
        </is>
      </c>
      <c r="L48" s="11" t="n">
        <v>80</v>
      </c>
      <c r="M48" s="11" t="n">
        <v>46</v>
      </c>
      <c r="N48" s="11" t="n">
        <v>59</v>
      </c>
      <c r="O48" s="11" t="n">
        <v>76</v>
      </c>
      <c r="P48" s="11" t="n">
        <v>50</v>
      </c>
      <c r="Q48" s="11" t="n">
        <v>50</v>
      </c>
      <c r="R48" s="12" t="inlineStr">
        <is>
          <t>ACUMULAR PFE | Score: 58/100 | Precio: $25.65 → Target: $28.66 (Upside: +12%) | FORTALEZAS: valoración atractiva (P/E 8.6x, EV/EBITDA 7.9x); baja volatilidad (beta 0.43, vol 26.0%) | ESTRATEGIA: Ir acumulando gradualmente en debilidad</t>
        </is>
      </c>
    </row>
    <row r="49">
      <c r="A49" s="5" t="inlineStr">
        <is>
          <t>O</t>
        </is>
      </c>
      <c r="B49" s="6" t="inlineStr">
        <is>
          <t>Realty Income Corporation</t>
        </is>
      </c>
      <c r="C49" s="6" t="inlineStr">
        <is>
          <t>REITs</t>
        </is>
      </c>
      <c r="D49" s="7" t="n">
        <v>60.74</v>
      </c>
      <c r="E49" s="15">
        <f>ROUND(L49*0.105+M49*0.158+N49*0.421+O49*0.053+P49*0.137+Q49*0.126,1)</f>
        <v/>
      </c>
      <c r="F49" s="15" t="inlineStr">
        <is>
          <t>ACCUMULATE</t>
        </is>
      </c>
      <c r="G49" s="13" t="n">
        <v>37.9</v>
      </c>
      <c r="H49" s="6" t="n">
        <v>16.8</v>
      </c>
      <c r="I49" s="13" t="n">
        <v>5.7</v>
      </c>
      <c r="J49" s="10" t="inlineStr">
        <is>
          <t>250</t>
        </is>
      </c>
      <c r="K49" s="10" t="inlineStr">
        <is>
          <t>370.0</t>
        </is>
      </c>
      <c r="L49" s="11" t="n">
        <v>42</v>
      </c>
      <c r="M49" s="11" t="n">
        <v>36</v>
      </c>
      <c r="N49" s="11" t="n">
        <v>72</v>
      </c>
      <c r="O49" s="11" t="n">
        <v>78</v>
      </c>
      <c r="P49" s="11" t="n">
        <v>50</v>
      </c>
      <c r="Q49" s="11" t="n">
        <v>50</v>
      </c>
      <c r="R49" s="12" t="inlineStr">
        <is>
          <t>ACUMULAR O | Score: 58/100 | Precio: $60.74 → Target: $63.77 (Upside: +5%) | FORTALEZAS: fuerte momentum (retorno 12M: 18.3%); baja volatilidad (beta 0.81, vol 17.3%) | ESTRATEGIA: Ir acumulando gradualmente en debilidad</t>
        </is>
      </c>
    </row>
    <row r="50">
      <c r="A50" s="5" t="inlineStr">
        <is>
          <t>FSLR</t>
        </is>
      </c>
      <c r="B50" s="6" t="inlineStr">
        <is>
          <t>First Solar, Inc.</t>
        </is>
      </c>
      <c r="C50" s="6" t="inlineStr">
        <is>
          <t>Energia Renovables</t>
        </is>
      </c>
      <c r="D50" s="7" t="n">
        <v>242.15</v>
      </c>
      <c r="E50" s="15">
        <f>ROUND(L50*0.105+M50*0.158+N50*0.421+O50*0.053+P50*0.137+Q50*0.126,1)</f>
        <v/>
      </c>
      <c r="F50" s="15" t="inlineStr">
        <is>
          <t>ACCUMULATE</t>
        </is>
      </c>
      <c r="G50" s="10" t="n">
        <v>10.3</v>
      </c>
      <c r="H50" s="6" t="n">
        <v>12.3</v>
      </c>
      <c r="I50" s="10" t="n">
        <v>-0.6</v>
      </c>
      <c r="J50" s="10" t="inlineStr">
        <is>
          <t>1690</t>
        </is>
      </c>
      <c r="K50" s="10" t="inlineStr">
        <is>
          <t>60.0</t>
        </is>
      </c>
      <c r="L50" s="11" t="n">
        <v>55</v>
      </c>
      <c r="M50" s="11" t="n">
        <v>65</v>
      </c>
      <c r="N50" s="11" t="n">
        <v>66</v>
      </c>
      <c r="O50" s="11" t="n">
        <v>9</v>
      </c>
      <c r="P50" s="11" t="n">
        <v>50</v>
      </c>
      <c r="Q50" s="11" t="n">
        <v>50</v>
      </c>
      <c r="R50" s="12" t="inlineStr">
        <is>
          <t>ACUMULAR FSLR | Score: 57/100 | Precio: $242.15 → Target: $279.41 (Upside: +15%) | FORTALEZAS: fuerte momentum (retorno 12M: 43.9%) | DEBILIDADES: alta volatilidad (beta 1.60, vol 62.5%) | ESTRATEGIA: Ir acumulando gradualmente en debilidad</t>
        </is>
      </c>
    </row>
    <row r="51">
      <c r="A51" s="5" t="inlineStr">
        <is>
          <t>VWS.CO</t>
        </is>
      </c>
      <c r="B51" s="6" t="inlineStr">
        <is>
          <t>Vestas Wind Systems A/S</t>
        </is>
      </c>
      <c r="C51" s="6" t="inlineStr">
        <is>
          <t>Energia Renovables</t>
        </is>
      </c>
      <c r="D51" s="7" t="n">
        <v>179.35</v>
      </c>
      <c r="E51" s="15">
        <f>ROUND(L51*0.105+M51*0.158+N51*0.421+O51*0.053+P51*0.137+Q51*0.126,1)</f>
        <v/>
      </c>
      <c r="F51" s="9" t="inlineStr">
        <is>
          <t>HOLD</t>
        </is>
      </c>
      <c r="G51" s="6" t="n">
        <v>22</v>
      </c>
      <c r="H51" s="13" t="n">
        <v>101.9</v>
      </c>
      <c r="I51" s="10" t="n">
        <v>-0.2</v>
      </c>
      <c r="J51" s="10" t="inlineStr">
        <is>
          <t>2940</t>
        </is>
      </c>
      <c r="K51" s="10" t="inlineStr">
        <is>
          <t>110.0</t>
        </is>
      </c>
      <c r="L51" s="11" t="n">
        <v>25</v>
      </c>
      <c r="M51" s="11" t="n">
        <v>56</v>
      </c>
      <c r="N51" s="11" t="n">
        <v>75</v>
      </c>
      <c r="O51" s="11" t="n">
        <v>20</v>
      </c>
      <c r="P51" s="11" t="n">
        <v>50</v>
      </c>
      <c r="Q51" s="11" t="n">
        <v>50</v>
      </c>
      <c r="R51" s="12" t="inlineStr">
        <is>
          <t>MANTENER VWS.CO | Score: 57/100 | Precio: $179.35 → Target: $171.62 (Upside: -4%) | FORTALEZAS: fuerte momentum (retorno 12M: 89.7%) | DEBILIDADES: valoración cara (P/E 22.0x, EV/EBITDA 101.9x); alta volatilidad (beta 1.35, vol 51.3%)</t>
        </is>
      </c>
    </row>
    <row r="52">
      <c r="A52" s="5" t="inlineStr">
        <is>
          <t>KOF</t>
        </is>
      </c>
      <c r="B52" s="6" t="inlineStr">
        <is>
          <t>Coca Cola Femsa S.A.B. de</t>
        </is>
      </c>
      <c r="C52" s="6" t="inlineStr">
        <is>
          <t>Latam</t>
        </is>
      </c>
      <c r="D52" s="7" t="n">
        <v>106.53</v>
      </c>
      <c r="E52" s="15">
        <f>ROUND(L52*0.105+M52*0.158+N52*0.421+O52*0.053+P52*0.137+Q52*0.126,1)</f>
        <v/>
      </c>
      <c r="F52" s="9" t="inlineStr">
        <is>
          <t>HOLD</t>
        </is>
      </c>
      <c r="G52" s="6" t="n">
        <v>15.3</v>
      </c>
      <c r="H52" s="10" t="n">
        <v>5.7</v>
      </c>
      <c r="I52" s="10" t="n">
        <v>1</v>
      </c>
      <c r="J52" s="10" t="inlineStr">
        <is>
          <t>1660</t>
        </is>
      </c>
      <c r="K52" s="10" t="inlineStr">
        <is>
          <t>1110.0</t>
        </is>
      </c>
      <c r="L52" s="11" t="n">
        <v>76</v>
      </c>
      <c r="M52" s="11" t="n">
        <v>43</v>
      </c>
      <c r="N52" s="11" t="n">
        <v>59</v>
      </c>
      <c r="O52" s="11" t="n">
        <v>77</v>
      </c>
      <c r="P52" s="11" t="n">
        <v>50</v>
      </c>
      <c r="Q52" s="11" t="n">
        <v>50</v>
      </c>
      <c r="R52" s="12" t="inlineStr">
        <is>
          <t>MANTENER KOF | Score: 57/100 | Precio: $106.53 → Target: $103.76 (Upside: -3%) | FORTALEZAS: valoración atractiva (P/E 15.3x, EV/EBITDA 5.7x); baja volatilidad (beta 0.51, vol 25.1%)</t>
        </is>
      </c>
    </row>
    <row r="53">
      <c r="A53" s="5" t="inlineStr">
        <is>
          <t>PBR</t>
        </is>
      </c>
      <c r="B53" s="6" t="inlineStr">
        <is>
          <t xml:space="preserve">Petroleo Brasileiro S.A. </t>
        </is>
      </c>
      <c r="C53" s="6" t="inlineStr">
        <is>
          <t>Energia Oil</t>
        </is>
      </c>
      <c r="D53" s="7" t="n">
        <v>14.28</v>
      </c>
      <c r="E53" s="15">
        <f>ROUND(L53*0.105+M53*0.158+N53*0.421+O53*0.053+P53*0.137+Q53*0.126,1)</f>
        <v/>
      </c>
      <c r="F53" s="15" t="inlineStr">
        <is>
          <t>ACCUMULATE</t>
        </is>
      </c>
      <c r="G53" s="10" t="n">
        <v>5.6</v>
      </c>
      <c r="H53" s="10" t="n">
        <v>2.6</v>
      </c>
      <c r="I53" s="10" t="n">
        <v>1.6</v>
      </c>
      <c r="J53" s="10" t="inlineStr">
        <is>
          <t>1900</t>
        </is>
      </c>
      <c r="K53" s="10" t="inlineStr">
        <is>
          <t>8820.0</t>
        </is>
      </c>
      <c r="L53" s="11" t="n">
        <v>91</v>
      </c>
      <c r="M53" s="11" t="n">
        <v>56</v>
      </c>
      <c r="N53" s="11" t="n">
        <v>50</v>
      </c>
      <c r="O53" s="11" t="n">
        <v>79</v>
      </c>
      <c r="P53" s="11" t="n">
        <v>50</v>
      </c>
      <c r="Q53" s="11" t="n">
        <v>50</v>
      </c>
      <c r="R53" s="12" t="inlineStr">
        <is>
          <t>ACUMULAR PBR | Score: 57/100 | Precio: $14.28 → Target: $14.79 (Upside: +4%) | FORTALEZAS: valoración atractiva (P/E 5.6x, EV/EBITDA 2.6x); baja volatilidad (beta -0.03, vol 31.4%) | ESTRATEGIA: Ir acumulando gradualmente en debilidad</t>
        </is>
      </c>
    </row>
    <row r="54">
      <c r="A54" s="5" t="inlineStr">
        <is>
          <t>UL</t>
        </is>
      </c>
      <c r="B54" s="6" t="inlineStr">
        <is>
          <t>Unilever PLC</t>
        </is>
      </c>
      <c r="C54" s="6" t="inlineStr">
        <is>
          <t>Defensivo</t>
        </is>
      </c>
      <c r="D54" s="7" t="n">
        <v>67</v>
      </c>
      <c r="E54" s="15">
        <f>ROUND(L54*0.105+M54*0.158+N54*0.421+O54*0.053+P54*0.137+Q54*0.126,1)</f>
        <v/>
      </c>
      <c r="F54" s="15" t="inlineStr">
        <is>
          <t>ACCUMULATE</t>
        </is>
      </c>
      <c r="G54" s="6" t="n">
        <v>18.4</v>
      </c>
      <c r="H54" s="6" t="n">
        <v>14.8</v>
      </c>
      <c r="I54" s="6" t="n">
        <v>2.2</v>
      </c>
      <c r="J54" s="10" t="inlineStr">
        <is>
          <t>2870</t>
        </is>
      </c>
      <c r="K54" s="10" t="inlineStr">
        <is>
          <t>370.0</t>
        </is>
      </c>
      <c r="L54" s="11" t="n">
        <v>58</v>
      </c>
      <c r="M54" s="11" t="n">
        <v>49</v>
      </c>
      <c r="N54" s="11" t="n">
        <v>59</v>
      </c>
      <c r="O54" s="11" t="n">
        <v>93</v>
      </c>
      <c r="P54" s="11" t="n">
        <v>50</v>
      </c>
      <c r="Q54" s="11" t="n">
        <v>50</v>
      </c>
      <c r="R54" s="12" t="inlineStr">
        <is>
          <t>ACUMULAR UL | Score: 57/100 | Precio: $67.00 → Target: $70.14 (Upside: +5%) | FORTALEZAS: baja volatilidad (beta 0.22, vol 20.5%) | ESTRATEGIA: Ir acumulando gradualmente en debilidad</t>
        </is>
      </c>
    </row>
    <row r="55">
      <c r="A55" s="5" t="inlineStr">
        <is>
          <t>ASML</t>
        </is>
      </c>
      <c r="B55" s="6" t="inlineStr">
        <is>
          <t>ASML Holding N.V. - New Y</t>
        </is>
      </c>
      <c r="C55" s="6" t="inlineStr">
        <is>
          <t>Europa Tech</t>
        </is>
      </c>
      <c r="D55" s="7" t="n">
        <v>1389.04</v>
      </c>
      <c r="E55" s="15">
        <f>ROUND(L55*0.105+M55*0.158+N55*0.421+O55*0.053+P55*0.137+Q55*0.126,1)</f>
        <v/>
      </c>
      <c r="F55" s="9" t="inlineStr">
        <is>
          <t>HOLD</t>
        </is>
      </c>
      <c r="G55" s="13" t="n">
        <v>43</v>
      </c>
      <c r="H55" s="13" t="n">
        <v>44</v>
      </c>
      <c r="I55" s="10" t="n">
        <v>-0.2</v>
      </c>
      <c r="J55" s="10" t="inlineStr">
        <is>
          <t>5390</t>
        </is>
      </c>
      <c r="K55" s="10" t="inlineStr">
        <is>
          <t>170.0</t>
        </is>
      </c>
      <c r="L55" s="11" t="n">
        <v>20</v>
      </c>
      <c r="M55" s="11" t="n">
        <v>80</v>
      </c>
      <c r="N55" s="11" t="n">
        <v>65</v>
      </c>
      <c r="O55" s="11" t="n">
        <v>28</v>
      </c>
      <c r="P55" s="11" t="n">
        <v>50</v>
      </c>
      <c r="Q55" s="11" t="n">
        <v>50</v>
      </c>
      <c r="R55" s="12" t="inlineStr">
        <is>
          <t>MANTENER ASML | Score: 57/100 | Precio: $1389.04 → Target: $1347.60 (Upside: -3%) | FORTALEZAS: alta calidad (ROE 53.9%, margen 32.8%) | DEBILIDADES: valoración cara (P/E 43.0x, EV/EBITDA 44.0x); alta volatilidad (beta 1.34, vol 41.3%)</t>
        </is>
      </c>
    </row>
    <row r="56">
      <c r="A56" s="5" t="inlineStr">
        <is>
          <t>GOOGL</t>
        </is>
      </c>
      <c r="B56" s="6" t="inlineStr">
        <is>
          <t>Alphabet Inc.</t>
        </is>
      </c>
      <c r="C56" s="6" t="inlineStr">
        <is>
          <t>Big Tech</t>
        </is>
      </c>
      <c r="D56" s="7" t="n">
        <v>327.93</v>
      </c>
      <c r="E56" s="15">
        <f>ROUND(L56*0.105+M56*0.158+N56*0.421+O56*0.053+P56*0.137+Q56*0.126,1)</f>
        <v/>
      </c>
      <c r="F56" s="15" t="inlineStr">
        <is>
          <t>ACCUMULATE</t>
        </is>
      </c>
      <c r="G56" s="6" t="n">
        <v>29.2</v>
      </c>
      <c r="H56" s="13" t="n">
        <v>26.9</v>
      </c>
      <c r="I56" s="10" t="n">
        <v>-0.4</v>
      </c>
      <c r="J56" s="10" t="inlineStr">
        <is>
          <t>3540</t>
        </is>
      </c>
      <c r="K56" s="10" t="inlineStr">
        <is>
          <t>120.0</t>
        </is>
      </c>
      <c r="L56" s="11" t="n">
        <v>25</v>
      </c>
      <c r="M56" s="11" t="n">
        <v>75</v>
      </c>
      <c r="N56" s="11" t="n">
        <v>47</v>
      </c>
      <c r="O56" s="11" t="n">
        <v>44</v>
      </c>
      <c r="P56" s="14" t="n">
        <v>100</v>
      </c>
      <c r="Q56" s="11" t="n">
        <v>50</v>
      </c>
      <c r="R56" s="12" t="inlineStr">
        <is>
          <t>ACUMULAR GOOGL | Score: 57/100 | Precio: $327.93 → Target: $342.89 (Upside: +5%) | FORTALEZAS: alta calidad (ROE 35.4%, margen 30.5%); congresistas comprando recientemente | DEBILIDADES: valoración cara (P/E 29.2x, EV/EBITDA 26.9x) | ESTRATEGIA: Ir acumulando gradualmente en debilidad</t>
        </is>
      </c>
    </row>
    <row r="57">
      <c r="A57" s="5" t="inlineStr">
        <is>
          <t>SU</t>
        </is>
      </c>
      <c r="B57" s="6" t="inlineStr">
        <is>
          <t>Suncor Energy  Inc.</t>
        </is>
      </c>
      <c r="C57" s="6" t="inlineStr">
        <is>
          <t>Energia Oil</t>
        </is>
      </c>
      <c r="D57" s="7" t="n">
        <v>50.87</v>
      </c>
      <c r="E57" s="15">
        <f>ROUND(L57*0.105+M57*0.158+N57*0.421+O57*0.053+P57*0.137+Q57*0.126,1)</f>
        <v/>
      </c>
      <c r="F57" s="9" t="inlineStr">
        <is>
          <t>HOLD</t>
        </is>
      </c>
      <c r="G57" s="6" t="n">
        <v>19.9</v>
      </c>
      <c r="H57" s="10" t="n">
        <v>4.8</v>
      </c>
      <c r="I57" s="10" t="n">
        <v>0.8</v>
      </c>
      <c r="J57" s="10" t="inlineStr">
        <is>
          <t>1170</t>
        </is>
      </c>
      <c r="K57" s="10" t="inlineStr">
        <is>
          <t>1140.0</t>
        </is>
      </c>
      <c r="L57" s="11" t="n">
        <v>70</v>
      </c>
      <c r="M57" s="11" t="n">
        <v>44</v>
      </c>
      <c r="N57" s="11" t="n">
        <v>61</v>
      </c>
      <c r="O57" s="11" t="n">
        <v>63</v>
      </c>
      <c r="P57" s="11" t="n">
        <v>50</v>
      </c>
      <c r="Q57" s="11" t="n">
        <v>50</v>
      </c>
      <c r="R57" s="12" t="inlineStr">
        <is>
          <t>MANTENER SU | Score: 57/100 | Precio: $50.87 → Target: $47.97 (Upside: -6%) | FORTALEZAS: valoración atractiva (P/E 19.9x, EV/EBITDA 4.8x)</t>
        </is>
      </c>
    </row>
    <row r="58">
      <c r="A58" s="5" t="inlineStr">
        <is>
          <t>NVO</t>
        </is>
      </c>
      <c r="B58" s="6" t="inlineStr">
        <is>
          <t>Novo Nordisk A/S</t>
        </is>
      </c>
      <c r="C58" s="6" t="inlineStr">
        <is>
          <t>Pharma</t>
        </is>
      </c>
      <c r="D58" s="7" t="n">
        <v>62.26</v>
      </c>
      <c r="E58" s="15">
        <f>ROUND(L58*0.105+M58*0.158+N58*0.421+O58*0.053+P58*0.137+Q58*0.126,1)</f>
        <v/>
      </c>
      <c r="F58" s="9" t="inlineStr">
        <is>
          <t>HOLD</t>
        </is>
      </c>
      <c r="G58" s="6" t="n">
        <v>18</v>
      </c>
      <c r="H58" s="10" t="n">
        <v>2.1</v>
      </c>
      <c r="I58" s="10" t="n">
        <v>0.4</v>
      </c>
      <c r="J58" s="10" t="inlineStr">
        <is>
          <t>7150</t>
        </is>
      </c>
      <c r="K58" s="10" t="inlineStr">
        <is>
          <t>1250.0</t>
        </is>
      </c>
      <c r="L58" s="11" t="n">
        <v>76</v>
      </c>
      <c r="M58" s="11" t="n">
        <v>80</v>
      </c>
      <c r="N58" s="11" t="n">
        <v>47</v>
      </c>
      <c r="O58" s="11" t="n">
        <v>51</v>
      </c>
      <c r="P58" s="11" t="n">
        <v>50</v>
      </c>
      <c r="Q58" s="11" t="n">
        <v>50</v>
      </c>
      <c r="R58" s="12" t="inlineStr">
        <is>
          <t>MANTENER NVO | Score: 56/100 | Precio: $62.26 → Target: $58.00 (Upside: -7%) | FORTALEZAS: valoración atractiva (P/E 18.0x, EV/EBITDA 2.1x); alta calidad (ROE 71.5%, margen 44.4%) | ESTRATEGIA: Largo plazo (value-quality) - empresa dominante a buen precio</t>
        </is>
      </c>
    </row>
    <row r="59">
      <c r="A59" s="5" t="inlineStr">
        <is>
          <t>AMT</t>
        </is>
      </c>
      <c r="B59" s="6" t="inlineStr">
        <is>
          <t>American Tower Corporatio</t>
        </is>
      </c>
      <c r="C59" s="6" t="inlineStr">
        <is>
          <t>REITs</t>
        </is>
      </c>
      <c r="D59" s="7" t="n">
        <v>178.75</v>
      </c>
      <c r="E59" s="15">
        <f>ROUND(L59*0.105+M59*0.158+N59*0.421+O59*0.053+P59*0.137+Q59*0.126,1)</f>
        <v/>
      </c>
      <c r="F59" s="15" t="inlineStr">
        <is>
          <t>ACCUMULATE</t>
        </is>
      </c>
      <c r="G59" s="6" t="n">
        <v>25.7</v>
      </c>
      <c r="H59" s="6" t="n">
        <v>19.9</v>
      </c>
      <c r="I59" s="13" t="n">
        <v>6.4</v>
      </c>
      <c r="J59" s="10" t="inlineStr">
        <is>
          <t>2880</t>
        </is>
      </c>
      <c r="K59" s="10" t="inlineStr">
        <is>
          <t>510.0</t>
        </is>
      </c>
      <c r="L59" s="11" t="n">
        <v>47</v>
      </c>
      <c r="M59" s="11" t="n">
        <v>57</v>
      </c>
      <c r="N59" s="11" t="n">
        <v>61</v>
      </c>
      <c r="O59" s="11" t="n">
        <v>68</v>
      </c>
      <c r="P59" s="11" t="n">
        <v>50</v>
      </c>
      <c r="Q59" s="11" t="n">
        <v>50</v>
      </c>
      <c r="R59" s="12" t="inlineStr">
        <is>
          <t>ACUMULAR AMT | Score: 56/100 | Precio: $178.75 → Target: $217.60 (Upside: +22%) | FORTALEZAS: baja volatilidad (beta 0.93, vol 24.2%) | ESTRATEGIA: Ir acumulando gradualmente en debilidad</t>
        </is>
      </c>
    </row>
    <row r="60">
      <c r="A60" s="5" t="inlineStr">
        <is>
          <t>IBDRY</t>
        </is>
      </c>
      <c r="B60" s="6" t="inlineStr">
        <is>
          <t>Iberdrola S.A.</t>
        </is>
      </c>
      <c r="C60" s="6" t="inlineStr">
        <is>
          <t>Energia Renovables</t>
        </is>
      </c>
      <c r="D60" s="7" t="n">
        <v>86.95999999999999</v>
      </c>
      <c r="E60" s="15">
        <f>ROUND(L60*0.105+M60*0.158+N60*0.421+O60*0.053+P60*0.137+Q60*0.126,1)</f>
        <v/>
      </c>
      <c r="F60" s="15" t="inlineStr">
        <is>
          <t>ACCUMULATE</t>
        </is>
      </c>
      <c r="G60" s="13" t="n">
        <v>30.2</v>
      </c>
      <c r="H60" s="13" t="n">
        <v>42.4</v>
      </c>
      <c r="I60" s="6" t="n">
        <v>3.2</v>
      </c>
      <c r="J60" s="10" t="inlineStr">
        <is>
          <t>940</t>
        </is>
      </c>
      <c r="K60" s="6" t="inlineStr">
        <is>
          <t>-</t>
        </is>
      </c>
      <c r="L60" s="11" t="n">
        <v>27</v>
      </c>
      <c r="M60" s="11" t="n">
        <v>35</v>
      </c>
      <c r="N60" s="11" t="n">
        <v>72</v>
      </c>
      <c r="O60" s="11" t="n">
        <v>79</v>
      </c>
      <c r="P60" s="11" t="n">
        <v>50</v>
      </c>
      <c r="Q60" s="11" t="n">
        <v>50</v>
      </c>
      <c r="R60" s="12" t="inlineStr">
        <is>
          <t>ACUMULAR IBDRY | Score: 56/100 | Precio: $86.96 → Target: $89.39 (Upside: +3%) | FORTALEZAS: fuerte momentum (retorno 12M: 60.9%); baja volatilidad (beta 0.65, vol 20.1%) | DEBILIDADES: valoración cara (P/E 30.2x, EV/EBITDA 42.4x); baja calidad operativa (ROE bajo, márgenes débiles) | ESTRATEGIA: Ir acumulando gradualmente en debilidad</t>
        </is>
      </c>
    </row>
    <row r="61">
      <c r="A61" s="5" t="inlineStr">
        <is>
          <t>UUUU</t>
        </is>
      </c>
      <c r="B61" s="6" t="inlineStr">
        <is>
          <t>Energy Fuels Inc</t>
        </is>
      </c>
      <c r="C61" s="6" t="inlineStr">
        <is>
          <t>Nuclear</t>
        </is>
      </c>
      <c r="D61" s="7" t="n">
        <v>25.5</v>
      </c>
      <c r="E61" s="15">
        <f>ROUND(L61*0.105+M61*0.158+N61*0.421+O61*0.053+P61*0.137+Q61*0.126,1)</f>
        <v/>
      </c>
      <c r="F61" s="9" t="inlineStr">
        <is>
          <t>HOLD</t>
        </is>
      </c>
      <c r="G61" s="13" t="n">
        <v>141.7</v>
      </c>
      <c r="H61" s="10" t="n">
        <v>-62.5</v>
      </c>
      <c r="I61" s="6" t="inlineStr">
        <is>
          <t>-</t>
        </is>
      </c>
      <c r="J61" s="13" t="inlineStr">
        <is>
          <t>-1810</t>
        </is>
      </c>
      <c r="K61" s="13" t="inlineStr">
        <is>
          <t>-180.0</t>
        </is>
      </c>
      <c r="L61" s="11" t="n">
        <v>37</v>
      </c>
      <c r="M61" s="11" t="n">
        <v>18</v>
      </c>
      <c r="N61" s="11" t="n">
        <v>85</v>
      </c>
      <c r="O61" s="11" t="n">
        <v>3</v>
      </c>
      <c r="P61" s="11" t="n">
        <v>50</v>
      </c>
      <c r="Q61" s="11" t="n">
        <v>50</v>
      </c>
      <c r="R61" s="12" t="inlineStr">
        <is>
          <t>MANTENER UUUU | Score: 56/100 | Precio: $25.50 → Target: $24.94 (Upside: -2%) | FORTALEZAS: fuerte momentum (retorno 12M: 346.6%) | DEBILIDADES: baja calidad operativa (ROE bajo, márgenes débiles); alta volatilidad (beta 1.85, vol 87.0%)</t>
        </is>
      </c>
    </row>
    <row r="62">
      <c r="A62" s="5" t="inlineStr">
        <is>
          <t>EQNR</t>
        </is>
      </c>
      <c r="B62" s="6" t="inlineStr">
        <is>
          <t>Equinor ASA</t>
        </is>
      </c>
      <c r="C62" s="6" t="inlineStr">
        <is>
          <t>Energia Oil</t>
        </is>
      </c>
      <c r="D62" s="7" t="n">
        <v>25.61</v>
      </c>
      <c r="E62" s="15">
        <f>ROUND(L62*0.105+M62*0.158+N62*0.421+O62*0.053+P62*0.137+Q62*0.126,1)</f>
        <v/>
      </c>
      <c r="F62" s="9" t="inlineStr">
        <is>
          <t>HOLD</t>
        </is>
      </c>
      <c r="G62" s="10" t="n">
        <v>9.699999999999999</v>
      </c>
      <c r="H62" s="10" t="n">
        <v>2</v>
      </c>
      <c r="I62" s="10" t="n">
        <v>0.2</v>
      </c>
      <c r="J62" s="10" t="inlineStr">
        <is>
          <t>1350</t>
        </is>
      </c>
      <c r="K62" s="10" t="inlineStr">
        <is>
          <t>990.0</t>
        </is>
      </c>
      <c r="L62" s="11" t="n">
        <v>85</v>
      </c>
      <c r="M62" s="11" t="n">
        <v>52</v>
      </c>
      <c r="N62" s="11" t="n">
        <v>51</v>
      </c>
      <c r="O62" s="11" t="n">
        <v>78</v>
      </c>
      <c r="P62" s="11" t="n">
        <v>50</v>
      </c>
      <c r="Q62" s="11" t="n">
        <v>50</v>
      </c>
      <c r="R62" s="12" t="inlineStr">
        <is>
          <t>MANTENER EQNR | Score: 56/100 | Precio: $25.61 → Target: $23.47 (Upside: -8%) | FORTALEZAS: valoración atractiva (P/E 9.7x, EV/EBITDA 2.0x); baja volatilidad (beta -0.31, vol 31.7%)</t>
        </is>
      </c>
    </row>
    <row r="63">
      <c r="A63" s="5" t="inlineStr">
        <is>
          <t>CCJ</t>
        </is>
      </c>
      <c r="B63" s="6" t="inlineStr">
        <is>
          <t>Cameco Corporation</t>
        </is>
      </c>
      <c r="C63" s="6" t="inlineStr">
        <is>
          <t>Nuclear</t>
        </is>
      </c>
      <c r="D63" s="7" t="n">
        <v>124.04</v>
      </c>
      <c r="E63" s="15">
        <f>ROUND(L63*0.105+M63*0.158+N63*0.421+O63*0.053+P63*0.137+Q63*0.126,1)</f>
        <v/>
      </c>
      <c r="F63" s="9" t="inlineStr">
        <is>
          <t>HOLD</t>
        </is>
      </c>
      <c r="G63" s="13" t="n">
        <v>87.3</v>
      </c>
      <c r="H63" s="13" t="n">
        <v>57.9</v>
      </c>
      <c r="I63" s="10" t="n">
        <v>0.2</v>
      </c>
      <c r="J63" s="10" t="inlineStr">
        <is>
          <t>810</t>
        </is>
      </c>
      <c r="K63" s="10" t="inlineStr">
        <is>
          <t>150.0</t>
        </is>
      </c>
      <c r="L63" s="11" t="n">
        <v>14</v>
      </c>
      <c r="M63" s="11" t="n">
        <v>40</v>
      </c>
      <c r="N63" s="11" t="n">
        <v>80</v>
      </c>
      <c r="O63" s="11" t="n">
        <v>21</v>
      </c>
      <c r="P63" s="11" t="n">
        <v>50</v>
      </c>
      <c r="Q63" s="11" t="n">
        <v>50</v>
      </c>
      <c r="R63" s="12" t="inlineStr">
        <is>
          <t>MANTENER CCJ | Score: 56/100 | Precio: $124.04 → Target: $111.96 (Upside: -10%) | FORTALEZAS: fuerte momentum (retorno 12M: 121.9%) | DEBILIDADES: valoración cara (P/E 87.3x, EV/EBITDA 57.9x); alta volatilidad (beta 1.22, vol 53.5%)</t>
        </is>
      </c>
    </row>
    <row r="64">
      <c r="A64" s="5" t="inlineStr">
        <is>
          <t>SEDG</t>
        </is>
      </c>
      <c r="B64" s="6" t="inlineStr">
        <is>
          <t>SolarEdge Technologies, I</t>
        </is>
      </c>
      <c r="C64" s="6" t="inlineStr">
        <is>
          <t>Energia Renovables</t>
        </is>
      </c>
      <c r="D64" s="7" t="n">
        <v>34.6</v>
      </c>
      <c r="E64" s="15">
        <f>ROUND(L64*0.105+M64*0.158+N64*0.421+O64*0.053+P64*0.137+Q64*0.126,1)</f>
        <v/>
      </c>
      <c r="F64" s="9" t="inlineStr">
        <is>
          <t>HOLD</t>
        </is>
      </c>
      <c r="G64" s="13" t="n">
        <v>138.6</v>
      </c>
      <c r="H64" s="10" t="n">
        <v>-5</v>
      </c>
      <c r="I64" s="6" t="inlineStr">
        <is>
          <t>-</t>
        </is>
      </c>
      <c r="J64" s="13" t="inlineStr">
        <is>
          <t>-7810</t>
        </is>
      </c>
      <c r="K64" s="10" t="inlineStr">
        <is>
          <t>1030.0</t>
        </is>
      </c>
      <c r="L64" s="11" t="n">
        <v>59</v>
      </c>
      <c r="M64" s="11" t="n">
        <v>19</v>
      </c>
      <c r="N64" s="11" t="n">
        <v>79</v>
      </c>
      <c r="O64" s="11" t="n">
        <v>4</v>
      </c>
      <c r="P64" s="11" t="n">
        <v>50</v>
      </c>
      <c r="Q64" s="11" t="n">
        <v>50</v>
      </c>
      <c r="R64" s="12" t="inlineStr">
        <is>
          <t>MANTENER SEDG | Score: 56/100 | Precio: $34.60 → Target: $32.09 (Upside: -7%) | FORTALEZAS: fuerte momentum (retorno 12M: 135.7%) | DEBILIDADES: baja calidad operativa (ROE bajo, márgenes débiles); alta volatilidad (beta 1.67, vol 106.4%)</t>
        </is>
      </c>
    </row>
    <row r="65">
      <c r="A65" s="5" t="inlineStr">
        <is>
          <t>ERIC</t>
        </is>
      </c>
      <c r="B65" s="6" t="inlineStr">
        <is>
          <t>Ericsson</t>
        </is>
      </c>
      <c r="C65" s="6" t="inlineStr">
        <is>
          <t>Europa Tech</t>
        </is>
      </c>
      <c r="D65" s="7" t="n">
        <v>10.43</v>
      </c>
      <c r="E65" s="15">
        <f>ROUND(L65*0.105+M65*0.158+N65*0.421+O65*0.053+P65*0.137+Q65*0.126,1)</f>
        <v/>
      </c>
      <c r="F65" s="9" t="inlineStr">
        <is>
          <t>HOLD</t>
        </is>
      </c>
      <c r="G65" s="6" t="n">
        <v>17</v>
      </c>
      <c r="H65" s="6" t="inlineStr">
        <is>
          <t>-</t>
        </is>
      </c>
      <c r="I65" s="6" t="inlineStr">
        <is>
          <t>-</t>
        </is>
      </c>
      <c r="J65" s="10" t="inlineStr">
        <is>
          <t>2830</t>
        </is>
      </c>
      <c r="K65" s="10" t="inlineStr">
        <is>
          <t>6290.0</t>
        </is>
      </c>
      <c r="L65" s="11" t="n">
        <v>68</v>
      </c>
      <c r="M65" s="11" t="n">
        <v>58</v>
      </c>
      <c r="N65" s="11" t="n">
        <v>56</v>
      </c>
      <c r="O65" s="11" t="n">
        <v>44</v>
      </c>
      <c r="P65" s="11" t="n">
        <v>50</v>
      </c>
      <c r="Q65" s="11" t="n">
        <v>50</v>
      </c>
      <c r="R65" s="12" t="inlineStr">
        <is>
          <t>MANTENER ERIC | Score: 55/100 | Precio: $10.43 → Target: $9.46 (Upside: -9%) | FORTALEZAS: valoración atractiva (P/E 17.0x)</t>
        </is>
      </c>
    </row>
    <row r="66">
      <c r="A66" s="5" t="inlineStr">
        <is>
          <t>ING</t>
        </is>
      </c>
      <c r="B66" s="6" t="inlineStr">
        <is>
          <t>ING Group, N.V.</t>
        </is>
      </c>
      <c r="C66" s="6" t="inlineStr">
        <is>
          <t>Europa Financieras</t>
        </is>
      </c>
      <c r="D66" s="7" t="n">
        <v>28.63</v>
      </c>
      <c r="E66" s="15">
        <f>ROUND(L66*0.105+M66*0.158+N66*0.421+O66*0.053+P66*0.137+Q66*0.126,1)</f>
        <v/>
      </c>
      <c r="F66" s="15" t="inlineStr">
        <is>
          <t>ACCUMULATE</t>
        </is>
      </c>
      <c r="G66" s="10" t="n">
        <v>10.7</v>
      </c>
      <c r="H66" s="6" t="inlineStr">
        <is>
          <t>-</t>
        </is>
      </c>
      <c r="I66" s="13" t="n">
        <v>95228002304</v>
      </c>
      <c r="J66" s="10" t="inlineStr">
        <is>
          <t>1030</t>
        </is>
      </c>
      <c r="K66" s="6" t="inlineStr">
        <is>
          <t>-</t>
        </is>
      </c>
      <c r="L66" s="11" t="n">
        <v>61</v>
      </c>
      <c r="M66" s="11" t="n">
        <v>42</v>
      </c>
      <c r="N66" s="11" t="n">
        <v>63</v>
      </c>
      <c r="O66" s="11" t="n">
        <v>53</v>
      </c>
      <c r="P66" s="11" t="n">
        <v>50</v>
      </c>
      <c r="Q66" s="11" t="n">
        <v>50</v>
      </c>
      <c r="R66" s="12" t="inlineStr">
        <is>
          <t>ACUMULAR ING | Score: 55/100 | Precio: $28.63 → Target: $28.95 (Upside: +1%) | ESTRATEGIA: Ir acumulando gradualmente en debilidad</t>
        </is>
      </c>
    </row>
    <row r="67">
      <c r="A67" s="5" t="inlineStr">
        <is>
          <t>UEC</t>
        </is>
      </c>
      <c r="B67" s="6" t="inlineStr">
        <is>
          <t>Uranium Energy Corp.</t>
        </is>
      </c>
      <c r="C67" s="6" t="inlineStr">
        <is>
          <t>Nuclear</t>
        </is>
      </c>
      <c r="D67" s="7" t="n">
        <v>18.62</v>
      </c>
      <c r="E67" s="15">
        <f>ROUND(L67*0.105+M67*0.158+N67*0.421+O67*0.053+P67*0.137+Q67*0.126,1)</f>
        <v/>
      </c>
      <c r="F67" s="9" t="inlineStr">
        <is>
          <t>HOLD</t>
        </is>
      </c>
      <c r="G67" s="13" t="n">
        <v>256.8</v>
      </c>
      <c r="H67" s="10" t="n">
        <v>-101</v>
      </c>
      <c r="I67" s="6" t="inlineStr">
        <is>
          <t>-</t>
        </is>
      </c>
      <c r="J67" s="13" t="inlineStr">
        <is>
          <t>-730</t>
        </is>
      </c>
      <c r="K67" s="13" t="inlineStr">
        <is>
          <t>-70.0</t>
        </is>
      </c>
      <c r="L67" s="11" t="n">
        <v>38</v>
      </c>
      <c r="M67" s="11" t="n">
        <v>19</v>
      </c>
      <c r="N67" s="11" t="n">
        <v>82</v>
      </c>
      <c r="O67" s="11" t="n">
        <v>14</v>
      </c>
      <c r="P67" s="11" t="n">
        <v>50</v>
      </c>
      <c r="Q67" s="11" t="n">
        <v>50</v>
      </c>
      <c r="R67" s="12" t="inlineStr">
        <is>
          <t>MANTENER UEC | Score: 55/100 | Precio: $18.62 → Target: $17.42 (Upside: -6%) | FORTALEZAS: fuerte momentum (retorno 12M: 132.5%) | DEBILIDADES: baja calidad operativa (ROE bajo, márgenes débiles); alta volatilidad (beta 1.24, vol 74.4%)</t>
        </is>
      </c>
    </row>
    <row r="68">
      <c r="A68" s="5" t="inlineStr">
        <is>
          <t>AIR.PA</t>
        </is>
      </c>
      <c r="B68" s="6" t="inlineStr">
        <is>
          <t>AIRBUS SE</t>
        </is>
      </c>
      <c r="C68" s="6" t="inlineStr">
        <is>
          <t>Defensa</t>
        </is>
      </c>
      <c r="D68" s="7" t="n">
        <v>206.8</v>
      </c>
      <c r="E68" s="15">
        <f>ROUND(L68*0.105+M68*0.158+N68*0.421+O68*0.053+P68*0.137+Q68*0.126,1)</f>
        <v/>
      </c>
      <c r="F68" s="15" t="inlineStr">
        <is>
          <t>ACCUMULATE</t>
        </is>
      </c>
      <c r="G68" s="6" t="n">
        <v>26.4</v>
      </c>
      <c r="H68" s="13" t="n">
        <v>21.2</v>
      </c>
      <c r="I68" s="10" t="n">
        <v>0.2</v>
      </c>
      <c r="J68" s="10" t="inlineStr">
        <is>
          <t>2310</t>
        </is>
      </c>
      <c r="K68" s="13" t="inlineStr">
        <is>
          <t>-30.0</t>
        </is>
      </c>
      <c r="L68" s="11" t="n">
        <v>27</v>
      </c>
      <c r="M68" s="11" t="n">
        <v>51</v>
      </c>
      <c r="N68" s="11" t="n">
        <v>54</v>
      </c>
      <c r="O68" s="11" t="n">
        <v>58</v>
      </c>
      <c r="P68" s="11" t="n">
        <v>50</v>
      </c>
      <c r="Q68" s="11" t="n">
        <v>50</v>
      </c>
      <c r="R68" s="12" t="inlineStr">
        <is>
          <t>ACUMULAR AIR.PA | Score: 55/100 | Precio: $206.80 → Target: $227.75 (Upside: +10%) | DEBILIDADES: valoración cara (P/E 26.4x, EV/EBITDA 21.2x) | ESTRATEGIA: Ir acumulando gradualmente en debilidad</t>
        </is>
      </c>
    </row>
    <row r="69">
      <c r="A69" s="5" t="inlineStr">
        <is>
          <t>TTE</t>
        </is>
      </c>
      <c r="B69" s="6" t="inlineStr">
        <is>
          <t>TotalEnergies SE</t>
        </is>
      </c>
      <c r="C69" s="6" t="inlineStr">
        <is>
          <t>Energia Oil</t>
        </is>
      </c>
      <c r="D69" s="7" t="n">
        <v>69.20999999999999</v>
      </c>
      <c r="E69" s="15">
        <f>ROUND(L69*0.105+M69*0.158+N69*0.421+O69*0.053+P69*0.137+Q69*0.126,1)</f>
        <v/>
      </c>
      <c r="F69" s="15" t="inlineStr">
        <is>
          <t>ACCUMULATE</t>
        </is>
      </c>
      <c r="G69" s="10" t="n">
        <v>10.8</v>
      </c>
      <c r="H69" s="10" t="n">
        <v>5.3</v>
      </c>
      <c r="I69" s="10" t="n">
        <v>1</v>
      </c>
      <c r="J69" s="10" t="inlineStr">
        <is>
          <t>1220</t>
        </is>
      </c>
      <c r="K69" s="10" t="inlineStr">
        <is>
          <t>900.0</t>
        </is>
      </c>
      <c r="L69" s="11" t="n">
        <v>79</v>
      </c>
      <c r="M69" s="11" t="n">
        <v>37</v>
      </c>
      <c r="N69" s="11" t="n">
        <v>55</v>
      </c>
      <c r="O69" s="11" t="n">
        <v>89</v>
      </c>
      <c r="P69" s="11" t="n">
        <v>50</v>
      </c>
      <c r="Q69" s="11" t="n">
        <v>50</v>
      </c>
      <c r="R69" s="12" t="inlineStr">
        <is>
          <t>ACUMULAR TTE | Score: 55/100 | Precio: $69.21 → Target: $71.56 (Upside: +3%) | FORTALEZAS: valoración atractiva (P/E 10.8x, EV/EBITDA 5.3x); baja volatilidad (beta 0.23, vol 23.1%) | ESTRATEGIA: Ir acumulando gradualmente en debilidad</t>
        </is>
      </c>
    </row>
    <row r="70">
      <c r="A70" s="5" t="inlineStr">
        <is>
          <t>BCS</t>
        </is>
      </c>
      <c r="B70" s="6" t="inlineStr">
        <is>
          <t>Barclays PLC</t>
        </is>
      </c>
      <c r="C70" s="6" t="inlineStr">
        <is>
          <t>Europa Financieras</t>
        </is>
      </c>
      <c r="D70" s="7" t="n">
        <v>26.2</v>
      </c>
      <c r="E70" s="15">
        <f>ROUND(L70*0.105+M70*0.158+N70*0.421+O70*0.053+P70*0.137+Q70*0.126,1)</f>
        <v/>
      </c>
      <c r="F70" s="9" t="inlineStr">
        <is>
          <t>HOLD</t>
        </is>
      </c>
      <c r="G70" s="10" t="n">
        <v>9</v>
      </c>
      <c r="H70" s="6" t="inlineStr">
        <is>
          <t>-</t>
        </is>
      </c>
      <c r="I70" s="13" t="n">
        <v>35957964800</v>
      </c>
      <c r="J70" s="10" t="inlineStr">
        <is>
          <t>940</t>
        </is>
      </c>
      <c r="K70" s="6" t="inlineStr">
        <is>
          <t>-</t>
        </is>
      </c>
      <c r="L70" s="11" t="n">
        <v>63</v>
      </c>
      <c r="M70" s="11" t="n">
        <v>36</v>
      </c>
      <c r="N70" s="11" t="n">
        <v>62</v>
      </c>
      <c r="O70" s="11" t="n">
        <v>54</v>
      </c>
      <c r="P70" s="11" t="n">
        <v>50</v>
      </c>
      <c r="Q70" s="11" t="n">
        <v>50</v>
      </c>
      <c r="R70" s="12" t="inlineStr">
        <is>
          <t>MANTENER BCS | Score: 55/100 | Precio: $26.20 → Target: $23.26 (Upside: -11%)</t>
        </is>
      </c>
    </row>
    <row r="71">
      <c r="A71" s="5" t="inlineStr">
        <is>
          <t>PEP</t>
        </is>
      </c>
      <c r="B71" s="6" t="inlineStr">
        <is>
          <t>Pepsico, Inc.</t>
        </is>
      </c>
      <c r="C71" s="6" t="inlineStr">
        <is>
          <t>Defensivo</t>
        </is>
      </c>
      <c r="D71" s="7" t="n">
        <v>144.58</v>
      </c>
      <c r="E71" s="15">
        <f>ROUND(L71*0.105+M71*0.158+N71*0.421+O71*0.053+P71*0.137+Q71*0.126,1)</f>
        <v/>
      </c>
      <c r="F71" s="15" t="inlineStr">
        <is>
          <t>ACCUMULATE</t>
        </is>
      </c>
      <c r="G71" s="6" t="n">
        <v>16.9</v>
      </c>
      <c r="H71" s="6" t="n">
        <v>14.1</v>
      </c>
      <c r="I71" s="6" t="n">
        <v>2.5</v>
      </c>
      <c r="J71" s="10" t="inlineStr">
        <is>
          <t>3720</t>
        </is>
      </c>
      <c r="K71" s="10" t="inlineStr">
        <is>
          <t>360.0</t>
        </is>
      </c>
      <c r="L71" s="11" t="n">
        <v>61</v>
      </c>
      <c r="M71" s="11" t="n">
        <v>51</v>
      </c>
      <c r="N71" s="11" t="n">
        <v>54</v>
      </c>
      <c r="O71" s="11" t="n">
        <v>83</v>
      </c>
      <c r="P71" s="11" t="n">
        <v>50</v>
      </c>
      <c r="Q71" s="11" t="n">
        <v>50</v>
      </c>
      <c r="R71" s="12" t="inlineStr">
        <is>
          <t>ACUMULAR PEP | Score: 55/100 | Precio: $144.58 → Target: $157.27 (Upside: +9%) | FORTALEZAS: baja volatilidad (beta 0.42, vol 22.7%) | ESTRATEGIA: Ir acumulando gradualmente en debilidad</t>
        </is>
      </c>
    </row>
    <row r="72">
      <c r="A72" s="5" t="inlineStr">
        <is>
          <t>SNY</t>
        </is>
      </c>
      <c r="B72" s="6" t="inlineStr">
        <is>
          <t>Sanofi</t>
        </is>
      </c>
      <c r="C72" s="6" t="inlineStr">
        <is>
          <t>Pharma</t>
        </is>
      </c>
      <c r="D72" s="7" t="n">
        <v>47.2</v>
      </c>
      <c r="E72" s="15">
        <f>ROUND(L72*0.105+M72*0.158+N72*0.421+O72*0.053+P72*0.137+Q72*0.126,1)</f>
        <v/>
      </c>
      <c r="F72" s="15" t="inlineStr">
        <is>
          <t>ACCUMULATE</t>
        </is>
      </c>
      <c r="G72" s="10" t="n">
        <v>9.6</v>
      </c>
      <c r="H72" s="10" t="n">
        <v>5.7</v>
      </c>
      <c r="I72" s="10" t="n">
        <v>1</v>
      </c>
      <c r="J72" s="10" t="inlineStr">
        <is>
          <t>880</t>
        </is>
      </c>
      <c r="K72" s="6" t="inlineStr">
        <is>
          <t>-</t>
        </is>
      </c>
      <c r="L72" s="11" t="n">
        <v>71</v>
      </c>
      <c r="M72" s="11" t="n">
        <v>44</v>
      </c>
      <c r="N72" s="11" t="n">
        <v>55</v>
      </c>
      <c r="O72" s="11" t="n">
        <v>75</v>
      </c>
      <c r="P72" s="11" t="n">
        <v>50</v>
      </c>
      <c r="Q72" s="11" t="n">
        <v>50</v>
      </c>
      <c r="R72" s="12" t="inlineStr">
        <is>
          <t>ACUMULAR SNY | Score: 55/100 | Precio: $47.20 → Target: $58.08 (Upside: +23%) | FORTALEZAS: valoración atractiva (P/E 9.6x, EV/EBITDA 5.7x); baja volatilidad (beta 0.40, vol 27.1%) | ESTRATEGIA: Ir acumulando gradualmente en debilidad</t>
        </is>
      </c>
    </row>
    <row r="73">
      <c r="A73" s="5" t="inlineStr">
        <is>
          <t>MUFG</t>
        </is>
      </c>
      <c r="B73" s="6" t="inlineStr">
        <is>
          <t xml:space="preserve">Mitsubishi UFJ Financial </t>
        </is>
      </c>
      <c r="C73" s="6" t="inlineStr">
        <is>
          <t>Japan</t>
        </is>
      </c>
      <c r="D73" s="7" t="n">
        <v>17.88</v>
      </c>
      <c r="E73" s="15">
        <f>ROUND(L73*0.105+M73*0.158+N73*0.421+O73*0.053+P73*0.137+Q73*0.126,1)</f>
        <v/>
      </c>
      <c r="F73" s="9" t="inlineStr">
        <is>
          <t>HOLD</t>
        </is>
      </c>
      <c r="G73" s="6" t="n">
        <v>17.4</v>
      </c>
      <c r="H73" s="6" t="inlineStr">
        <is>
          <t>-</t>
        </is>
      </c>
      <c r="I73" s="10" t="n">
        <v>-62590390632448</v>
      </c>
      <c r="J73" s="10" t="inlineStr">
        <is>
          <t>600</t>
        </is>
      </c>
      <c r="K73" s="6" t="inlineStr">
        <is>
          <t>-</t>
        </is>
      </c>
      <c r="L73" s="11" t="n">
        <v>54</v>
      </c>
      <c r="M73" s="11" t="n">
        <v>70</v>
      </c>
      <c r="N73" s="11" t="n">
        <v>48</v>
      </c>
      <c r="O73" s="11" t="n">
        <v>77</v>
      </c>
      <c r="P73" s="11" t="n">
        <v>50</v>
      </c>
      <c r="Q73" s="11" t="n">
        <v>50</v>
      </c>
      <c r="R73" s="12" t="inlineStr">
        <is>
          <t>MANTENER MUFG | Score: 54/100 | Precio: $17.88 → Target: $17.17 (Upside: -4%) | FORTALEZAS: alta calidad (ROE 6.0%, margen 49.9%); baja volatilidad (beta 0.14, vol 31.0%)</t>
        </is>
      </c>
    </row>
    <row r="74">
      <c r="A74" s="5" t="inlineStr">
        <is>
          <t>GD</t>
        </is>
      </c>
      <c r="B74" s="6" t="inlineStr">
        <is>
          <t>General Dynamics Corporat</t>
        </is>
      </c>
      <c r="C74" s="6" t="inlineStr">
        <is>
          <t>Defensa</t>
        </is>
      </c>
      <c r="D74" s="7" t="n">
        <v>363.27</v>
      </c>
      <c r="E74" s="15">
        <f>ROUND(L74*0.105+M74*0.158+N74*0.421+O74*0.053+P74*0.137+Q74*0.126,1)</f>
        <v/>
      </c>
      <c r="F74" s="15" t="inlineStr">
        <is>
          <t>ACCUMULATE</t>
        </is>
      </c>
      <c r="G74" s="6" t="n">
        <v>21.1</v>
      </c>
      <c r="H74" s="6" t="n">
        <v>16.9</v>
      </c>
      <c r="I74" s="10" t="n">
        <v>1.2</v>
      </c>
      <c r="J74" s="10" t="inlineStr">
        <is>
          <t>1780</t>
        </is>
      </c>
      <c r="K74" s="10" t="inlineStr">
        <is>
          <t>360.0</t>
        </is>
      </c>
      <c r="L74" s="11" t="n">
        <v>51</v>
      </c>
      <c r="M74" s="11" t="n">
        <v>40</v>
      </c>
      <c r="N74" s="11" t="n">
        <v>59</v>
      </c>
      <c r="O74" s="11" t="n">
        <v>84</v>
      </c>
      <c r="P74" s="11" t="n">
        <v>50</v>
      </c>
      <c r="Q74" s="11" t="n">
        <v>50</v>
      </c>
      <c r="R74" s="12" t="inlineStr">
        <is>
          <t>ACUMULAR GD | Score: 54/100 | Precio: $363.27 → Target: $393.01 (Upside: +8%) | FORTALEZAS: baja volatilidad (beta 0.41, vol 22.0%) | ESTRATEGIA: Ir acumulando gradualmente en debilidad</t>
        </is>
      </c>
    </row>
    <row r="75">
      <c r="A75" s="5" t="inlineStr">
        <is>
          <t>PBR</t>
        </is>
      </c>
      <c r="B75" s="6" t="inlineStr">
        <is>
          <t xml:space="preserve">Petroleo Brasileiro S.A. </t>
        </is>
      </c>
      <c r="C75" s="6" t="inlineStr">
        <is>
          <t>Latam</t>
        </is>
      </c>
      <c r="D75" s="7" t="n">
        <v>14.28</v>
      </c>
      <c r="E75" s="15">
        <f>ROUND(L75*0.105+M75*0.158+N75*0.421+O75*0.053+P75*0.137+Q75*0.126,1)</f>
        <v/>
      </c>
      <c r="F75" s="15" t="inlineStr">
        <is>
          <t>ACCUMULATE</t>
        </is>
      </c>
      <c r="G75" s="10" t="n">
        <v>5.6</v>
      </c>
      <c r="H75" s="10" t="n">
        <v>2.6</v>
      </c>
      <c r="I75" s="10" t="n">
        <v>1.6</v>
      </c>
      <c r="J75" s="10" t="inlineStr">
        <is>
          <t>1900</t>
        </is>
      </c>
      <c r="K75" s="10" t="inlineStr">
        <is>
          <t>8820.0</t>
        </is>
      </c>
      <c r="L75" s="11" t="n">
        <v>91</v>
      </c>
      <c r="M75" s="11" t="n">
        <v>56</v>
      </c>
      <c r="N75" s="11" t="n">
        <v>44</v>
      </c>
      <c r="O75" s="11" t="n">
        <v>78</v>
      </c>
      <c r="P75" s="11" t="n">
        <v>50</v>
      </c>
      <c r="Q75" s="11" t="n">
        <v>50</v>
      </c>
      <c r="R75" s="12" t="inlineStr">
        <is>
          <t>ACUMULAR PBR | Score: 54/100 | Precio: $14.28 → Target: $14.79 (Upside: +4%) | FORTALEZAS: valoración atractiva (P/E 5.6x, EV/EBITDA 2.6x); baja volatilidad (beta -0.03, vol 31.4%) | ESTRATEGIA: Ir acumulando gradualmente en debilidad</t>
        </is>
      </c>
    </row>
    <row r="76">
      <c r="A76" s="5" t="inlineStr">
        <is>
          <t>NESN.SW</t>
        </is>
      </c>
      <c r="B76" s="6" t="inlineStr">
        <is>
          <t>NESTLE N</t>
        </is>
      </c>
      <c r="C76" s="6" t="inlineStr">
        <is>
          <t>Defensivo</t>
        </is>
      </c>
      <c r="D76" s="7" t="n">
        <v>72.47</v>
      </c>
      <c r="E76" s="15">
        <f>ROUND(L76*0.105+M76*0.158+N76*0.421+O76*0.053+P76*0.137+Q76*0.126,1)</f>
        <v/>
      </c>
      <c r="F76" s="15" t="inlineStr">
        <is>
          <t>ACCUMULATE</t>
        </is>
      </c>
      <c r="G76" s="6" t="n">
        <v>16.2</v>
      </c>
      <c r="H76" s="6" t="n">
        <v>14.1</v>
      </c>
      <c r="I76" s="6" t="n">
        <v>3.4</v>
      </c>
      <c r="J76" s="10" t="inlineStr">
        <is>
          <t>3380</t>
        </is>
      </c>
      <c r="K76" s="10" t="inlineStr">
        <is>
          <t>310.0</t>
        </is>
      </c>
      <c r="L76" s="11" t="n">
        <v>59</v>
      </c>
      <c r="M76" s="11" t="n">
        <v>47</v>
      </c>
      <c r="N76" s="11" t="n">
        <v>54</v>
      </c>
      <c r="O76" s="11" t="n">
        <v>81</v>
      </c>
      <c r="P76" s="11" t="n">
        <v>50</v>
      </c>
      <c r="Q76" s="11" t="n">
        <v>50</v>
      </c>
      <c r="R76" s="12" t="inlineStr">
        <is>
          <t>ACUMULAR NESN.SW | Score: 54/100 | Precio: $72.47 → Target: $87.06 (Upside: +20%) | FORTALEZAS: baja volatilidad (beta 0.51, vol 21.3%) | ESTRATEGIA: Ir acumulando gradualmente en debilidad</t>
        </is>
      </c>
    </row>
    <row r="77">
      <c r="A77" s="5" t="inlineStr">
        <is>
          <t>WMT</t>
        </is>
      </c>
      <c r="B77" s="6" t="inlineStr">
        <is>
          <t>Walmart Inc.</t>
        </is>
      </c>
      <c r="C77" s="6" t="inlineStr">
        <is>
          <t>Defensivo</t>
        </is>
      </c>
      <c r="D77" s="7" t="n">
        <v>117.73</v>
      </c>
      <c r="E77" s="15">
        <f>ROUND(L77*0.105+M77*0.158+N77*0.421+O77*0.053+P77*0.137+Q77*0.126,1)</f>
        <v/>
      </c>
      <c r="F77" s="15" t="inlineStr">
        <is>
          <t>ACCUMULATE</t>
        </is>
      </c>
      <c r="G77" s="13" t="n">
        <v>39.6</v>
      </c>
      <c r="H77" s="13" t="n">
        <v>23.5</v>
      </c>
      <c r="I77" s="10" t="n">
        <v>1.4</v>
      </c>
      <c r="J77" s="10" t="inlineStr">
        <is>
          <t>2370</t>
        </is>
      </c>
      <c r="K77" s="10" t="inlineStr">
        <is>
          <t>110.0</t>
        </is>
      </c>
      <c r="L77" s="11" t="n">
        <v>24</v>
      </c>
      <c r="M77" s="11" t="n">
        <v>40</v>
      </c>
      <c r="N77" s="11" t="n">
        <v>67</v>
      </c>
      <c r="O77" s="11" t="n">
        <v>72</v>
      </c>
      <c r="P77" s="11" t="n">
        <v>50</v>
      </c>
      <c r="Q77" s="11" t="n">
        <v>50</v>
      </c>
      <c r="R77" s="12" t="inlineStr">
        <is>
          <t>ACUMULAR WMT | Score: 54/100 | Precio: $117.73 → Target: $123.83 (Upside: +5%) | FORTALEZAS: fuerte momentum (retorno 12M: 25.4%); baja volatilidad (beta 0.66, vol 25.3%) | DEBILIDADES: valoración cara (P/E 39.6x, EV/EBITDA 23.5x) | ESTRATEGIA: Ir acumulando gradualmente en debilidad</t>
        </is>
      </c>
    </row>
    <row r="78">
      <c r="A78" s="5" t="inlineStr">
        <is>
          <t>PG</t>
        </is>
      </c>
      <c r="B78" s="6" t="inlineStr">
        <is>
          <t xml:space="preserve">Procter &amp; Gamble Company </t>
        </is>
      </c>
      <c r="C78" s="6" t="inlineStr">
        <is>
          <t>Defensivo</t>
        </is>
      </c>
      <c r="D78" s="7" t="n">
        <v>150.15</v>
      </c>
      <c r="E78" s="15">
        <f>ROUND(L78*0.105+M78*0.158+N78*0.421+O78*0.053+P78*0.137+Q78*0.126,1)</f>
        <v/>
      </c>
      <c r="F78" s="15" t="inlineStr">
        <is>
          <t>ACCUMULATE</t>
        </is>
      </c>
      <c r="G78" s="6" t="n">
        <v>20.5</v>
      </c>
      <c r="H78" s="6" t="n">
        <v>15.2</v>
      </c>
      <c r="I78" s="10" t="n">
        <v>1</v>
      </c>
      <c r="J78" s="10" t="inlineStr">
        <is>
          <t>3160</t>
        </is>
      </c>
      <c r="K78" s="10" t="inlineStr">
        <is>
          <t>380.0</t>
        </is>
      </c>
      <c r="L78" s="11" t="n">
        <v>54</v>
      </c>
      <c r="M78" s="11" t="n">
        <v>60</v>
      </c>
      <c r="N78" s="11" t="n">
        <v>49</v>
      </c>
      <c r="O78" s="11" t="n">
        <v>87</v>
      </c>
      <c r="P78" s="11" t="n">
        <v>50</v>
      </c>
      <c r="Q78" s="11" t="n">
        <v>50</v>
      </c>
      <c r="R78" s="12" t="inlineStr">
        <is>
          <t>ACUMULAR PG | Score: 54/100 | Precio: $150.15 → Target: $167.18 (Upside: +11%) | FORTALEZAS: baja volatilidad (beta 0.39, vol 19.1%) | ESTRATEGIA: Ir acumulando gradualmente en debilidad</t>
        </is>
      </c>
    </row>
    <row r="79">
      <c r="A79" s="5" t="inlineStr">
        <is>
          <t>MRNA</t>
        </is>
      </c>
      <c r="B79" s="6" t="inlineStr">
        <is>
          <t>Moderna, Inc.</t>
        </is>
      </c>
      <c r="C79" s="6" t="inlineStr">
        <is>
          <t>Biotech</t>
        </is>
      </c>
      <c r="D79" s="7" t="n">
        <v>48.71</v>
      </c>
      <c r="E79" s="15">
        <f>ROUND(L79*0.105+M79*0.158+N79*0.421+O79*0.053+P79*0.137+Q79*0.126,1)</f>
        <v/>
      </c>
      <c r="F79" s="9" t="inlineStr">
        <is>
          <t>HOLD</t>
        </is>
      </c>
      <c r="G79" s="10" t="n">
        <v>-7</v>
      </c>
      <c r="H79" s="10" t="n">
        <v>-4.7</v>
      </c>
      <c r="I79" s="6" t="inlineStr">
        <is>
          <t>-</t>
        </is>
      </c>
      <c r="J79" s="13" t="inlineStr">
        <is>
          <t>-2930</t>
        </is>
      </c>
      <c r="K79" s="13" t="inlineStr">
        <is>
          <t>-1040.0</t>
        </is>
      </c>
      <c r="L79" s="11" t="n">
        <v>65</v>
      </c>
      <c r="M79" s="11" t="n">
        <v>19</v>
      </c>
      <c r="N79" s="11" t="n">
        <v>70</v>
      </c>
      <c r="O79" s="11" t="n">
        <v>17</v>
      </c>
      <c r="P79" s="11" t="n">
        <v>50</v>
      </c>
      <c r="Q79" s="11" t="n">
        <v>50</v>
      </c>
      <c r="R79" s="12" t="inlineStr">
        <is>
          <t>MANTENER MRNA | Score: 54/100 | Precio: $48.71 → Target: $37.70 (Upside: -23%) | FORTALEZAS: valoración atractiva (P/E -7.0x, EV/EBITDA -4.7x); fuerte momentum (retorno 12M: 17.6%) | DEBILIDADES: baja calidad operativa (ROE bajo, márgenes débiles); alta volatilidad (beta 1.17, vol 68.8%)</t>
        </is>
      </c>
    </row>
    <row r="80">
      <c r="A80" s="5" t="inlineStr">
        <is>
          <t>NOK</t>
        </is>
      </c>
      <c r="B80" s="6" t="inlineStr">
        <is>
          <t>Nokia Corporation Sponsor</t>
        </is>
      </c>
      <c r="C80" s="6" t="inlineStr">
        <is>
          <t>Europa Tech</t>
        </is>
      </c>
      <c r="D80" s="7" t="n">
        <v>6.77</v>
      </c>
      <c r="E80" s="15">
        <f>ROUND(L80*0.105+M80*0.158+N80*0.421+O80*0.053+P80*0.137+Q80*0.126,1)</f>
        <v/>
      </c>
      <c r="F80" s="9" t="inlineStr">
        <is>
          <t>HOLD</t>
        </is>
      </c>
      <c r="G80" s="6" t="n">
        <v>17.9</v>
      </c>
      <c r="H80" s="6" t="n">
        <v>14</v>
      </c>
      <c r="I80" s="10" t="n">
        <v>-0.6</v>
      </c>
      <c r="J80" s="10" t="inlineStr">
        <is>
          <t>420</t>
        </is>
      </c>
      <c r="K80" s="10" t="inlineStr">
        <is>
          <t>290.0</t>
        </is>
      </c>
      <c r="L80" s="11" t="n">
        <v>55</v>
      </c>
      <c r="M80" s="11" t="n">
        <v>38</v>
      </c>
      <c r="N80" s="11" t="n">
        <v>61</v>
      </c>
      <c r="O80" s="11" t="n">
        <v>52</v>
      </c>
      <c r="P80" s="11" t="n">
        <v>50</v>
      </c>
      <c r="Q80" s="11" t="n">
        <v>50</v>
      </c>
      <c r="R80" s="12" t="inlineStr">
        <is>
          <t>MANTENER NOK | Score: 53/100 | Precio: $6.77 → Target: $6.70 (Upside: -1%)</t>
        </is>
      </c>
    </row>
    <row r="81">
      <c r="A81" s="5" t="inlineStr">
        <is>
          <t>SHEL</t>
        </is>
      </c>
      <c r="B81" s="6" t="inlineStr">
        <is>
          <t>Shell PLC</t>
        </is>
      </c>
      <c r="C81" s="6" t="inlineStr">
        <is>
          <t>Energia Oil</t>
        </is>
      </c>
      <c r="D81" s="7" t="n">
        <v>73.75</v>
      </c>
      <c r="E81" s="15">
        <f>ROUND(L81*0.105+M81*0.158+N81*0.421+O81*0.053+P81*0.137+Q81*0.126,1)</f>
        <v/>
      </c>
      <c r="F81" s="15" t="inlineStr">
        <is>
          <t>ACCUMULATE</t>
        </is>
      </c>
      <c r="G81" s="10" t="n">
        <v>11.5</v>
      </c>
      <c r="H81" s="10" t="n">
        <v>9.699999999999999</v>
      </c>
      <c r="I81" s="10" t="n">
        <v>0.8</v>
      </c>
      <c r="J81" s="10" t="inlineStr">
        <is>
          <t>820</t>
        </is>
      </c>
      <c r="K81" s="10" t="inlineStr">
        <is>
          <t>840.0</t>
        </is>
      </c>
      <c r="L81" s="11" t="n">
        <v>75</v>
      </c>
      <c r="M81" s="11" t="n">
        <v>33</v>
      </c>
      <c r="N81" s="11" t="n">
        <v>52</v>
      </c>
      <c r="O81" s="11" t="n">
        <v>96</v>
      </c>
      <c r="P81" s="11" t="n">
        <v>50</v>
      </c>
      <c r="Q81" s="11" t="n">
        <v>50</v>
      </c>
      <c r="R81" s="12" t="inlineStr">
        <is>
          <t>ACUMULAR SHEL | Score: 53/100 | Precio: $73.75 → Target: $83.16 (Upside: +13%) | FORTALEZAS: valoración atractiva (P/E 11.5x, EV/EBITDA 9.7x); baja volatilidad (beta -0.10, vol 22.7%) | DEBILIDADES: baja calidad operativa (ROE bajo, márgenes débiles) | ESTRATEGIA: Ir acumulando gradualmente en debilidad</t>
        </is>
      </c>
    </row>
    <row r="82">
      <c r="A82" s="5" t="inlineStr">
        <is>
          <t>CMCSA</t>
        </is>
      </c>
      <c r="B82" s="6" t="inlineStr">
        <is>
          <t>Comcast Corporation</t>
        </is>
      </c>
      <c r="C82" s="6" t="inlineStr">
        <is>
          <t>Streaming Media</t>
        </is>
      </c>
      <c r="D82" s="7" t="n">
        <v>29.3</v>
      </c>
      <c r="E82" s="15">
        <f>ROUND(L82*0.105+M82*0.158+N82*0.421+O82*0.053+P82*0.137+Q82*0.126,1)</f>
        <v/>
      </c>
      <c r="F82" s="15" t="inlineStr">
        <is>
          <t>ACCUMULATE</t>
        </is>
      </c>
      <c r="G82" s="10" t="n">
        <v>7.6</v>
      </c>
      <c r="H82" s="10" t="n">
        <v>5.2</v>
      </c>
      <c r="I82" s="6" t="n">
        <v>2.4</v>
      </c>
      <c r="J82" s="10" t="inlineStr">
        <is>
          <t>2420</t>
        </is>
      </c>
      <c r="K82" s="10" t="inlineStr">
        <is>
          <t>350.0</t>
        </is>
      </c>
      <c r="L82" s="11" t="n">
        <v>77</v>
      </c>
      <c r="M82" s="11" t="n">
        <v>46</v>
      </c>
      <c r="N82" s="11" t="n">
        <v>50</v>
      </c>
      <c r="O82" s="11" t="n">
        <v>64</v>
      </c>
      <c r="P82" s="11" t="n">
        <v>50</v>
      </c>
      <c r="Q82" s="11" t="n">
        <v>50</v>
      </c>
      <c r="R82" s="12" t="inlineStr">
        <is>
          <t>ACUMULAR CMCSA | Score: 53/100 | Precio: $29.30 → Target: $33.76 (Upside: +15%) | FORTALEZAS: valoración atractiva (P/E 7.6x, EV/EBITDA 5.2x) | ESTRATEGIA: Ir acumulando gradualmente en debilidad</t>
        </is>
      </c>
    </row>
    <row r="83">
      <c r="A83" s="5" t="inlineStr">
        <is>
          <t>NOC</t>
        </is>
      </c>
      <c r="B83" s="6" t="inlineStr">
        <is>
          <t>Northrop Grumman Corporat</t>
        </is>
      </c>
      <c r="C83" s="6" t="inlineStr">
        <is>
          <t>Defensa</t>
        </is>
      </c>
      <c r="D83" s="7" t="n">
        <v>672.95</v>
      </c>
      <c r="E83" s="15">
        <f>ROUND(L83*0.105+M83*0.158+N83*0.421+O83*0.053+P83*0.137+Q83*0.126,1)</f>
        <v/>
      </c>
      <c r="F83" s="15" t="inlineStr">
        <is>
          <t>ACCUMULATE</t>
        </is>
      </c>
      <c r="G83" s="6" t="n">
        <v>23.3</v>
      </c>
      <c r="H83" s="6" t="n">
        <v>17</v>
      </c>
      <c r="I83" s="6" t="n">
        <v>2.4</v>
      </c>
      <c r="J83" s="10" t="inlineStr">
        <is>
          <t>2620</t>
        </is>
      </c>
      <c r="K83" s="10" t="inlineStr">
        <is>
          <t>240.0</t>
        </is>
      </c>
      <c r="L83" s="11" t="n">
        <v>42</v>
      </c>
      <c r="M83" s="11" t="n">
        <v>43</v>
      </c>
      <c r="N83" s="11" t="n">
        <v>58</v>
      </c>
      <c r="O83" s="11" t="n">
        <v>83</v>
      </c>
      <c r="P83" s="11" t="n">
        <v>50</v>
      </c>
      <c r="Q83" s="11" t="n">
        <v>50</v>
      </c>
      <c r="R83" s="12" t="inlineStr">
        <is>
          <t>ACUMULAR NOC | Score: 53/100 | Precio: $672.95 → Target: $680.44 (Upside: +1%) | FORTALEZAS: baja volatilidad (beta 0.05, vol 28.5%) | ESTRATEGIA: Ir acumulando gradualmente en debilidad</t>
        </is>
      </c>
    </row>
    <row r="84">
      <c r="A84" s="5" t="inlineStr">
        <is>
          <t>PLD</t>
        </is>
      </c>
      <c r="B84" s="6" t="inlineStr">
        <is>
          <t>Prologis, Inc.</t>
        </is>
      </c>
      <c r="C84" s="6" t="inlineStr">
        <is>
          <t>REITs</t>
        </is>
      </c>
      <c r="D84" s="7" t="n">
        <v>127.15</v>
      </c>
      <c r="E84" s="15">
        <f>ROUND(L84*0.105+M84*0.158+N84*0.421+O84*0.053+P84*0.137+Q84*0.126,1)</f>
        <v/>
      </c>
      <c r="F84" s="15" t="inlineStr">
        <is>
          <t>ACCUMULATE</t>
        </is>
      </c>
      <c r="G84" s="13" t="n">
        <v>38.5</v>
      </c>
      <c r="H84" s="13" t="n">
        <v>24.9</v>
      </c>
      <c r="I84" s="13" t="n">
        <v>5.3</v>
      </c>
      <c r="J84" s="10" t="inlineStr">
        <is>
          <t>610</t>
        </is>
      </c>
      <c r="K84" s="6" t="inlineStr">
        <is>
          <t>-</t>
        </is>
      </c>
      <c r="L84" s="11" t="n">
        <v>29</v>
      </c>
      <c r="M84" s="11" t="n">
        <v>39</v>
      </c>
      <c r="N84" s="11" t="n">
        <v>66</v>
      </c>
      <c r="O84" s="11" t="n">
        <v>47</v>
      </c>
      <c r="P84" s="11" t="n">
        <v>50</v>
      </c>
      <c r="Q84" s="11" t="n">
        <v>50</v>
      </c>
      <c r="R84" s="12" t="inlineStr">
        <is>
          <t>ACUMULAR PLD | Score: 53/100 | Precio: $127.15 → Target: $138.25 (Upside: +9%) | FORTALEZAS: fuerte momentum (retorno 12M: 10.7%) | DEBILIDADES: valoración cara (P/E 38.5x, EV/EBITDA 24.9x) | ESTRATEGIA: Ir acumulando gradualmente en debilidad</t>
        </is>
      </c>
    </row>
    <row r="85">
      <c r="A85" s="5" t="inlineStr">
        <is>
          <t>GOLD</t>
        </is>
      </c>
      <c r="B85" s="6" t="inlineStr">
        <is>
          <t>Gold.com, Inc.</t>
        </is>
      </c>
      <c r="C85" s="6" t="inlineStr">
        <is>
          <t>Oro</t>
        </is>
      </c>
      <c r="D85" s="7" t="n">
        <v>43.11</v>
      </c>
      <c r="E85" s="15">
        <f>ROUND(L85*0.105+M85*0.158+N85*0.421+O85*0.053+P85*0.137+Q85*0.126,1)</f>
        <v/>
      </c>
      <c r="F85" s="15" t="inlineStr">
        <is>
          <t>ACCUMULATE</t>
        </is>
      </c>
      <c r="G85" s="13" t="n">
        <v>143.7</v>
      </c>
      <c r="H85" s="13" t="n">
        <v>25.3</v>
      </c>
      <c r="I85" s="13" t="n">
        <v>9.4</v>
      </c>
      <c r="J85" s="10" t="inlineStr">
        <is>
          <t>90</t>
        </is>
      </c>
      <c r="K85" s="10" t="inlineStr">
        <is>
          <t>2760.0</t>
        </is>
      </c>
      <c r="L85" s="11" t="n">
        <v>37</v>
      </c>
      <c r="M85" s="11" t="n">
        <v>9</v>
      </c>
      <c r="N85" s="11" t="n">
        <v>75</v>
      </c>
      <c r="O85" s="11" t="n">
        <v>49</v>
      </c>
      <c r="P85" s="11" t="n">
        <v>50</v>
      </c>
      <c r="Q85" s="11" t="n">
        <v>50</v>
      </c>
      <c r="R85" s="12" t="inlineStr">
        <is>
          <t>ACUMULAR GOLD | Score: 53/100 | Precio: $43.11 → Target: $46.25 (Upside: +7%) | FORTALEZAS: fuerte momentum (retorno 12M: 62.2%) | DEBILIDADES: baja calidad operativa (ROE bajo, márgenes débiles) | ESTRATEGIA: Ir acumulando gradualmente en debilidad</t>
        </is>
      </c>
    </row>
    <row r="86">
      <c r="A86" s="5" t="inlineStr">
        <is>
          <t>ALB</t>
        </is>
      </c>
      <c r="B86" s="6" t="inlineStr">
        <is>
          <t>Albemarle Corporation</t>
        </is>
      </c>
      <c r="C86" s="6" t="inlineStr">
        <is>
          <t>Cobre Litio</t>
        </is>
      </c>
      <c r="D86" s="7" t="n">
        <v>189.51</v>
      </c>
      <c r="E86" s="15">
        <f>ROUND(L86*0.105+M86*0.158+N86*0.421+O86*0.053+P86*0.137+Q86*0.126,1)</f>
        <v/>
      </c>
      <c r="F86" s="9" t="inlineStr">
        <is>
          <t>HOLD</t>
        </is>
      </c>
      <c r="G86" s="13" t="n">
        <v>82.8</v>
      </c>
      <c r="H86" s="13" t="n">
        <v>38.2</v>
      </c>
      <c r="I86" s="6" t="n">
        <v>2.6</v>
      </c>
      <c r="J86" s="10" t="inlineStr">
        <is>
          <t>20</t>
        </is>
      </c>
      <c r="K86" s="13" t="inlineStr">
        <is>
          <t>-70.0</t>
        </is>
      </c>
      <c r="L86" s="11" t="n">
        <v>11</v>
      </c>
      <c r="M86" s="11" t="n">
        <v>12</v>
      </c>
      <c r="N86" s="11" t="n">
        <v>84</v>
      </c>
      <c r="O86" s="11" t="n">
        <v>14</v>
      </c>
      <c r="P86" s="11" t="n">
        <v>50</v>
      </c>
      <c r="Q86" s="11" t="n">
        <v>50</v>
      </c>
      <c r="R86" s="12" t="inlineStr">
        <is>
          <t>MANTENER ALB | Score: 53/100 | Precio: $189.51 → Target: $165.06 (Upside: -13%) | FORTALEZAS: fuerte momentum (retorno 12M: 117.9%) | DEBILIDADES: valoración cara (P/E 82.8x, EV/EBITDA 38.2x); baja calidad operativa (ROE bajo, márgenes débiles); alta volatilidad (beta 1.41, vol 62.5%)</t>
        </is>
      </c>
    </row>
    <row r="87">
      <c r="A87" s="5" t="inlineStr">
        <is>
          <t>RTX</t>
        </is>
      </c>
      <c r="B87" s="6" t="inlineStr">
        <is>
          <t>RTX Corporation</t>
        </is>
      </c>
      <c r="C87" s="6" t="inlineStr">
        <is>
          <t>Defensa</t>
        </is>
      </c>
      <c r="D87" s="7" t="n">
        <v>195.93</v>
      </c>
      <c r="E87" s="15">
        <f>ROUND(L87*0.105+M87*0.158+N87*0.421+O87*0.053+P87*0.137+Q87*0.126,1)</f>
        <v/>
      </c>
      <c r="F87" s="15" t="inlineStr">
        <is>
          <t>ACCUMULATE</t>
        </is>
      </c>
      <c r="G87" s="6" t="n">
        <v>29.2</v>
      </c>
      <c r="H87" s="13" t="n">
        <v>20.7</v>
      </c>
      <c r="I87" s="6" t="n">
        <v>2.4</v>
      </c>
      <c r="J87" s="10" t="inlineStr">
        <is>
          <t>1070</t>
        </is>
      </c>
      <c r="K87" s="10" t="inlineStr">
        <is>
          <t>160.0</t>
        </is>
      </c>
      <c r="L87" s="11" t="n">
        <v>32</v>
      </c>
      <c r="M87" s="11" t="n">
        <v>29</v>
      </c>
      <c r="N87" s="11" t="n">
        <v>66</v>
      </c>
      <c r="O87" s="11" t="n">
        <v>73</v>
      </c>
      <c r="P87" s="11" t="n">
        <v>50</v>
      </c>
      <c r="Q87" s="11" t="n">
        <v>50</v>
      </c>
      <c r="R87" s="12" t="inlineStr">
        <is>
          <t>ACUMULAR RTX | Score: 53/100 | Precio: $195.93 → Target: $202.83 (Upside: +4%) | FORTALEZAS: fuerte momentum (retorno 12M: 59.3%); baja volatilidad (beta 0.44, vol 27.3%) | DEBILIDADES: valoración cara (P/E 29.2x, EV/EBITDA 20.7x); baja calidad operativa (ROE bajo, márgenes débiles) | ESTRATEGIA: Ir acumulando gradualmente en debilidad</t>
        </is>
      </c>
    </row>
    <row r="88">
      <c r="A88" s="5" t="inlineStr">
        <is>
          <t>NU</t>
        </is>
      </c>
      <c r="B88" s="6" t="inlineStr">
        <is>
          <t>Nu Holdings Ltd.</t>
        </is>
      </c>
      <c r="C88" s="6" t="inlineStr">
        <is>
          <t>Fintech</t>
        </is>
      </c>
      <c r="D88" s="7" t="n">
        <v>18.04</v>
      </c>
      <c r="E88" s="15">
        <f>ROUND(L88*0.105+M88*0.158+N88*0.421+O88*0.053+P88*0.137+Q88*0.126,1)</f>
        <v/>
      </c>
      <c r="F88" s="15" t="inlineStr">
        <is>
          <t>ACCUMULATE</t>
        </is>
      </c>
      <c r="G88" s="6" t="n">
        <v>19.8</v>
      </c>
      <c r="H88" s="6" t="inlineStr">
        <is>
          <t>-</t>
        </is>
      </c>
      <c r="I88" s="10" t="n">
        <v>-9903684608</v>
      </c>
      <c r="J88" s="10" t="inlineStr">
        <is>
          <t>2780</t>
        </is>
      </c>
      <c r="K88" s="6" t="inlineStr">
        <is>
          <t>-</t>
        </is>
      </c>
      <c r="L88" s="11" t="n">
        <v>50</v>
      </c>
      <c r="M88" s="11" t="n">
        <v>88</v>
      </c>
      <c r="N88" s="11" t="n">
        <v>43</v>
      </c>
      <c r="O88" s="11" t="n">
        <v>32</v>
      </c>
      <c r="P88" s="11" t="n">
        <v>50</v>
      </c>
      <c r="Q88" s="11" t="n">
        <v>50</v>
      </c>
      <c r="R88" s="12" t="inlineStr">
        <is>
          <t>ACUMULAR NU | Score: 52/100 | Precio: $18.04 → Target: $19.82 (Upside: +10%) | FORTALEZAS: alta calidad (ROE 27.8%, margen 58.2%) | DEBILIDADES: alta volatilidad (beta 1.08, vol 44.5%) | ESTRATEGIA: Ir acumulando gradualmente en debilidad</t>
        </is>
      </c>
    </row>
    <row r="89">
      <c r="A89" s="5" t="inlineStr">
        <is>
          <t>SMFG</t>
        </is>
      </c>
      <c r="B89" s="6" t="inlineStr">
        <is>
          <t>Sumitomo Mitsui Financial</t>
        </is>
      </c>
      <c r="C89" s="6" t="inlineStr">
        <is>
          <t>Japan</t>
        </is>
      </c>
      <c r="D89" s="7" t="n">
        <v>20.92</v>
      </c>
      <c r="E89" s="15">
        <f>ROUND(L89*0.105+M89*0.158+N89*0.421+O89*0.053+P89*0.137+Q89*0.126,1)</f>
        <v/>
      </c>
      <c r="F89" s="15" t="inlineStr">
        <is>
          <t>ACCUMULATE</t>
        </is>
      </c>
      <c r="G89" s="13" t="n">
        <v>51</v>
      </c>
      <c r="H89" s="6" t="inlineStr">
        <is>
          <t>-</t>
        </is>
      </c>
      <c r="I89" s="10" t="n">
        <v>-43461243830272</v>
      </c>
      <c r="J89" s="10" t="inlineStr">
        <is>
          <t>480</t>
        </is>
      </c>
      <c r="K89" s="6" t="inlineStr">
        <is>
          <t>-</t>
        </is>
      </c>
      <c r="L89" s="11" t="n">
        <v>36</v>
      </c>
      <c r="M89" s="11" t="n">
        <v>69</v>
      </c>
      <c r="N89" s="11" t="n">
        <v>48</v>
      </c>
      <c r="O89" s="11" t="n">
        <v>77</v>
      </c>
      <c r="P89" s="11" t="n">
        <v>50</v>
      </c>
      <c r="Q89" s="11" t="n">
        <v>50</v>
      </c>
      <c r="R89" s="12" t="inlineStr">
        <is>
          <t>ACUMULAR SMFG | Score: 52/100 | Precio: $20.92 → Target: $23.47 (Upside: +12%) | FORTALEZAS: alta calidad (ROE 4.8%, margen 49.3%); baja volatilidad (beta 0.16, vol 30.9%) | ESTRATEGIA: Ir acumulando gradualmente en debilidad</t>
        </is>
      </c>
    </row>
    <row r="90">
      <c r="A90" s="5" t="inlineStr">
        <is>
          <t>TSM</t>
        </is>
      </c>
      <c r="B90" s="6" t="inlineStr">
        <is>
          <t>Taiwan Semiconductor Manu</t>
        </is>
      </c>
      <c r="C90" s="6" t="inlineStr">
        <is>
          <t>Semiconductores</t>
        </is>
      </c>
      <c r="D90" s="7" t="n">
        <v>334.87</v>
      </c>
      <c r="E90" s="15">
        <f>ROUND(L90*0.105+M90*0.158+N90*0.421+O90*0.053+P90*0.137+Q90*0.126,1)</f>
        <v/>
      </c>
      <c r="F90" s="15" t="inlineStr">
        <is>
          <t>ACCUMULATE</t>
        </is>
      </c>
      <c r="G90" s="6" t="n">
        <v>18.6</v>
      </c>
      <c r="H90" s="10" t="n">
        <v>2.5</v>
      </c>
      <c r="I90" s="10" t="n">
        <v>-0.8</v>
      </c>
      <c r="J90" s="10" t="inlineStr">
        <is>
          <t>3520</t>
        </is>
      </c>
      <c r="K90" s="10" t="inlineStr">
        <is>
          <t>3560.0</t>
        </is>
      </c>
      <c r="L90" s="11" t="n">
        <v>77</v>
      </c>
      <c r="M90" s="11" t="n">
        <v>87</v>
      </c>
      <c r="N90" s="11" t="n">
        <v>37</v>
      </c>
      <c r="O90" s="11" t="n">
        <v>30</v>
      </c>
      <c r="P90" s="11" t="n">
        <v>50</v>
      </c>
      <c r="Q90" s="11" t="n">
        <v>50</v>
      </c>
      <c r="R90" s="12" t="inlineStr">
        <is>
          <t>ACUMULAR TSM | Score: 52/100 | Precio: $334.87 → Target: $419.81 (Upside: +25%) | FORTALEZAS: valoración atractiva (P/E 18.6x, EV/EBITDA 2.5x); alta calidad (ROE 35.2%, margen 53.8%) | DEBILIDADES: alta volatilidad (beta 1.27, vol 40.8%) | ESTRATEGIA: Largo plazo (value-quality) - empresa dominante a buen precio</t>
        </is>
      </c>
    </row>
    <row r="91">
      <c r="A91" s="5" t="inlineStr">
        <is>
          <t>MU</t>
        </is>
      </c>
      <c r="B91" s="6" t="inlineStr">
        <is>
          <t>Micron Technology, Inc.</t>
        </is>
      </c>
      <c r="C91" s="6" t="inlineStr">
        <is>
          <t>Semiconductores</t>
        </is>
      </c>
      <c r="D91" s="7" t="n">
        <v>399.65</v>
      </c>
      <c r="E91" s="15">
        <f>ROUND(L91*0.105+M91*0.158+N91*0.421+O91*0.053+P91*0.137+Q91*0.126,1)</f>
        <v/>
      </c>
      <c r="F91" s="9" t="inlineStr">
        <is>
          <t>HOLD</t>
        </is>
      </c>
      <c r="G91" s="10" t="n">
        <v>9.4</v>
      </c>
      <c r="H91" s="13" t="n">
        <v>20.3</v>
      </c>
      <c r="I91" s="10" t="n">
        <v>0.1</v>
      </c>
      <c r="J91" s="10" t="inlineStr">
        <is>
          <t>2260</t>
        </is>
      </c>
      <c r="K91" s="10" t="inlineStr">
        <is>
          <t>10.0</t>
        </is>
      </c>
      <c r="L91" s="11" t="n">
        <v>48</v>
      </c>
      <c r="M91" s="11" t="n">
        <v>72</v>
      </c>
      <c r="N91" s="11" t="n">
        <v>52</v>
      </c>
      <c r="O91" s="11" t="n">
        <v>11</v>
      </c>
      <c r="P91" s="11" t="n">
        <v>50</v>
      </c>
      <c r="Q91" s="11" t="n">
        <v>50</v>
      </c>
      <c r="R91" s="12" t="inlineStr">
        <is>
          <t>MANTENER MU | Score: 52/100 | Precio: $399.65 → Target: $354.21 (Upside: -11%) | FORTALEZAS: alta calidad (ROE 22.6%, margen 45.0%) | DEBILIDADES: alta volatilidad (beta 1.50, vol 63.5%)</t>
        </is>
      </c>
    </row>
    <row r="92">
      <c r="A92" s="5" t="inlineStr">
        <is>
          <t>KB</t>
        </is>
      </c>
      <c r="B92" s="6" t="inlineStr">
        <is>
          <t>KB Financial Group Inc</t>
        </is>
      </c>
      <c r="C92" s="6" t="inlineStr">
        <is>
          <t>Korea</t>
        </is>
      </c>
      <c r="D92" s="7" t="n">
        <v>94.52</v>
      </c>
      <c r="E92" s="15">
        <f>ROUND(L92*0.105+M92*0.158+N92*0.421+O92*0.053+P92*0.137+Q92*0.126,1)</f>
        <v/>
      </c>
      <c r="F92" s="15" t="inlineStr">
        <is>
          <t>ACCUMULATE</t>
        </is>
      </c>
      <c r="G92" s="10" t="n">
        <v>8.300000000000001</v>
      </c>
      <c r="H92" s="6" t="inlineStr">
        <is>
          <t>-</t>
        </is>
      </c>
      <c r="I92" s="13" t="n">
        <v>36472820334592</v>
      </c>
      <c r="J92" s="10" t="inlineStr">
        <is>
          <t>950</t>
        </is>
      </c>
      <c r="K92" s="6" t="inlineStr">
        <is>
          <t>-</t>
        </is>
      </c>
      <c r="L92" s="11" t="n">
        <v>64</v>
      </c>
      <c r="M92" s="11" t="n">
        <v>43</v>
      </c>
      <c r="N92" s="11" t="n">
        <v>53</v>
      </c>
      <c r="O92" s="11" t="n">
        <v>55</v>
      </c>
      <c r="P92" s="11" t="n">
        <v>50</v>
      </c>
      <c r="Q92" s="11" t="n">
        <v>50</v>
      </c>
      <c r="R92" s="12" t="inlineStr">
        <is>
          <t>ACUMULAR KB | Score: 52/100 | Precio: $94.52 → Target: $113.58 (Upside: +20%) | ESTRATEGIA: Ir acumulando gradualmente en debilidad</t>
        </is>
      </c>
    </row>
    <row r="93">
      <c r="A93" s="5" t="inlineStr">
        <is>
          <t>COST</t>
        </is>
      </c>
      <c r="B93" s="6" t="inlineStr">
        <is>
          <t>Costco Wholesale Corporat</t>
        </is>
      </c>
      <c r="C93" s="6" t="inlineStr">
        <is>
          <t>Defensivo</t>
        </is>
      </c>
      <c r="D93" s="7" t="n">
        <v>983.25</v>
      </c>
      <c r="E93" s="15">
        <f>ROUND(L93*0.105+M93*0.158+N93*0.421+O93*0.053+P93*0.137+Q93*0.126,1)</f>
        <v/>
      </c>
      <c r="F93" s="15" t="inlineStr">
        <is>
          <t>ACCUMULATE</t>
        </is>
      </c>
      <c r="G93" s="13" t="n">
        <v>44.3</v>
      </c>
      <c r="H93" s="13" t="n">
        <v>32.6</v>
      </c>
      <c r="I93" s="10" t="n">
        <v>-0.7</v>
      </c>
      <c r="J93" s="10" t="inlineStr">
        <is>
          <t>3030</t>
        </is>
      </c>
      <c r="K93" s="10" t="inlineStr">
        <is>
          <t>160.0</t>
        </is>
      </c>
      <c r="L93" s="11" t="n">
        <v>20</v>
      </c>
      <c r="M93" s="11" t="n">
        <v>58</v>
      </c>
      <c r="N93" s="11" t="n">
        <v>55</v>
      </c>
      <c r="O93" s="11" t="n">
        <v>67</v>
      </c>
      <c r="P93" s="11" t="n">
        <v>50</v>
      </c>
      <c r="Q93" s="11" t="n">
        <v>50</v>
      </c>
      <c r="R93" s="12" t="inlineStr">
        <is>
          <t>ACUMULAR COST | Score: 51/100 | Precio: $983.25 → Target: $1030.19 (Upside: +5%) | FORTALEZAS: baja volatilidad (beta 1.01, vol 22.1%) | DEBILIDADES: valoración cara (P/E 44.3x, EV/EBITDA 32.6x) | ESTRATEGIA: Ir acumulando gradualmente en debilidad</t>
        </is>
      </c>
    </row>
    <row r="94">
      <c r="A94" s="5" t="inlineStr">
        <is>
          <t>NFLX</t>
        </is>
      </c>
      <c r="B94" s="6" t="inlineStr">
        <is>
          <t>Netflix, Inc.</t>
        </is>
      </c>
      <c r="C94" s="6" t="inlineStr">
        <is>
          <t>Streaming Media</t>
        </is>
      </c>
      <c r="D94" s="7" t="n">
        <v>86.12</v>
      </c>
      <c r="E94" s="15">
        <f>ROUND(L94*0.105+M94*0.158+N94*0.421+O94*0.053+P94*0.137+Q94*0.126,1)</f>
        <v/>
      </c>
      <c r="F94" s="15" t="inlineStr">
        <is>
          <t>ACCUMULATE</t>
        </is>
      </c>
      <c r="G94" s="6" t="n">
        <v>22.5</v>
      </c>
      <c r="H94" s="13" t="n">
        <v>27.2</v>
      </c>
      <c r="I94" s="10" t="n">
        <v>0.6</v>
      </c>
      <c r="J94" s="10" t="inlineStr">
        <is>
          <t>4280</t>
        </is>
      </c>
      <c r="K94" s="10" t="inlineStr">
        <is>
          <t>680.0</t>
        </is>
      </c>
      <c r="L94" s="11" t="n">
        <v>45</v>
      </c>
      <c r="M94" s="11" t="n">
        <v>68</v>
      </c>
      <c r="N94" s="11" t="n">
        <v>50</v>
      </c>
      <c r="O94" s="11" t="n">
        <v>29</v>
      </c>
      <c r="P94" s="11" t="n">
        <v>50</v>
      </c>
      <c r="Q94" s="11" t="n">
        <v>50</v>
      </c>
      <c r="R94" s="12" t="inlineStr">
        <is>
          <t>ACUMULAR NFLX | Score: 51/100 | Precio: $86.12 → Target: $112.77 (Upside: +31%) | FORTALEZAS: alta calidad (ROE 42.8%, margen 24.5%) | DEBILIDADES: alta volatilidad (beta 1.71, vol 32.4%) | ESTRATEGIA: Ir acumulando gradualmente en debilidad</t>
        </is>
      </c>
    </row>
    <row r="95">
      <c r="A95" s="5" t="inlineStr">
        <is>
          <t>LMT</t>
        </is>
      </c>
      <c r="B95" s="6" t="inlineStr">
        <is>
          <t>Lockheed Martin Corporati</t>
        </is>
      </c>
      <c r="C95" s="6" t="inlineStr">
        <is>
          <t>Defensa</t>
        </is>
      </c>
      <c r="D95" s="7" t="n">
        <v>590.8200000000001</v>
      </c>
      <c r="E95" s="15">
        <f>ROUND(L95*0.105+M95*0.158+N95*0.421+O95*0.053+P95*0.137+Q95*0.126,1)</f>
        <v/>
      </c>
      <c r="F95" s="9" t="inlineStr">
        <is>
          <t>HOLD</t>
        </is>
      </c>
      <c r="G95" s="6" t="n">
        <v>20.3</v>
      </c>
      <c r="H95" s="13" t="n">
        <v>21.4</v>
      </c>
      <c r="I95" s="6" t="n">
        <v>2.6</v>
      </c>
      <c r="J95" s="10" t="inlineStr">
        <is>
          <t>6280</t>
        </is>
      </c>
      <c r="K95" s="10" t="inlineStr">
        <is>
          <t>320.0</t>
        </is>
      </c>
      <c r="L95" s="11" t="n">
        <v>44</v>
      </c>
      <c r="M95" s="11" t="n">
        <v>48</v>
      </c>
      <c r="N95" s="11" t="n">
        <v>50</v>
      </c>
      <c r="O95" s="11" t="n">
        <v>81</v>
      </c>
      <c r="P95" s="11" t="n">
        <v>50</v>
      </c>
      <c r="Q95" s="11" t="n">
        <v>50</v>
      </c>
      <c r="R95" s="12" t="inlineStr">
        <is>
          <t>MANTENER LMT | Score: 51/100 | Precio: $590.82 → Target: $569.68 (Upside: -4%) | FORTALEZAS: baja volatilidad (beta 0.24, vol 27.6%)</t>
        </is>
      </c>
    </row>
    <row r="96">
      <c r="A96" s="5" t="inlineStr">
        <is>
          <t>BP</t>
        </is>
      </c>
      <c r="B96" s="6" t="inlineStr">
        <is>
          <t>BP p.l.c.</t>
        </is>
      </c>
      <c r="C96" s="6" t="inlineStr">
        <is>
          <t>Energia Oil</t>
        </is>
      </c>
      <c r="D96" s="7" t="n">
        <v>36.53</v>
      </c>
      <c r="E96" s="15">
        <f>ROUND(L96*0.105+M96*0.158+N96*0.421+O96*0.053+P96*0.137+Q96*0.126,1)</f>
        <v/>
      </c>
      <c r="F96" s="15" t="inlineStr">
        <is>
          <t>ACCUMULATE</t>
        </is>
      </c>
      <c r="G96" s="10" t="n">
        <v>13.2</v>
      </c>
      <c r="H96" s="13" t="n">
        <v>21.8</v>
      </c>
      <c r="I96" s="10" t="n">
        <v>1.4</v>
      </c>
      <c r="J96" s="10" t="inlineStr">
        <is>
          <t>360</t>
        </is>
      </c>
      <c r="K96" s="10" t="inlineStr">
        <is>
          <t>1280.0</t>
        </is>
      </c>
      <c r="L96" s="11" t="n">
        <v>63</v>
      </c>
      <c r="M96" s="11" t="n">
        <v>25</v>
      </c>
      <c r="N96" s="11" t="n">
        <v>54</v>
      </c>
      <c r="O96" s="11" t="n">
        <v>81</v>
      </c>
      <c r="P96" s="11" t="n">
        <v>50</v>
      </c>
      <c r="Q96" s="11" t="n">
        <v>50</v>
      </c>
      <c r="R96" s="12" t="inlineStr">
        <is>
          <t>ACUMULAR BP | Score: 51/100 | Precio: $36.53 → Target: $38.73 (Upside: +6%) | FORTALEZAS: baja volatilidad (beta 0.03, vol 29.3%) | DEBILIDADES: baja calidad operativa (ROE bajo, márgenes débiles) | ESTRATEGIA: Ir acumulando gradualmente en debilidad</t>
        </is>
      </c>
    </row>
    <row r="97">
      <c r="A97" s="5" t="inlineStr">
        <is>
          <t>BA</t>
        </is>
      </c>
      <c r="B97" s="6" t="inlineStr">
        <is>
          <t>Boeing Company (The)</t>
        </is>
      </c>
      <c r="C97" s="6" t="inlineStr">
        <is>
          <t>Defensa</t>
        </is>
      </c>
      <c r="D97" s="7" t="n">
        <v>252.15</v>
      </c>
      <c r="E97" s="15">
        <f>ROUND(L97*0.105+M97*0.158+N97*0.421+O97*0.053+P97*0.137+Q97*0.126,1)</f>
        <v/>
      </c>
      <c r="F97" s="15" t="inlineStr">
        <is>
          <t>ACCUMULATE</t>
        </is>
      </c>
      <c r="G97" s="13" t="n">
        <v>108</v>
      </c>
      <c r="H97" s="10" t="n">
        <v>-36.6</v>
      </c>
      <c r="I97" s="6" t="inlineStr">
        <is>
          <t>-</t>
        </is>
      </c>
      <c r="J97" s="6" t="inlineStr">
        <is>
          <t>-</t>
        </is>
      </c>
      <c r="K97" s="13" t="inlineStr">
        <is>
          <t>-240.0</t>
        </is>
      </c>
      <c r="L97" s="11" t="n">
        <v>36</v>
      </c>
      <c r="M97" s="11" t="n">
        <v>35</v>
      </c>
      <c r="N97" s="11" t="n">
        <v>61</v>
      </c>
      <c r="O97" s="11" t="n">
        <v>36</v>
      </c>
      <c r="P97" s="11" t="n">
        <v>50</v>
      </c>
      <c r="Q97" s="11" t="n">
        <v>50</v>
      </c>
      <c r="R97" s="12" t="inlineStr">
        <is>
          <t>ACUMULAR BA | Score: 50/100 | Precio: $252.15 → Target: $258.04 (Upside: +2%) | DEBILIDADES: baja calidad operativa (ROE bajo, márgenes débiles) | ESTRATEGIA: Ir acumulando gradualmente en debilidad</t>
        </is>
      </c>
    </row>
    <row r="98">
      <c r="A98" s="5" t="inlineStr">
        <is>
          <t>NVDA</t>
        </is>
      </c>
      <c r="B98" s="6" t="inlineStr">
        <is>
          <t>NVIDIA Corporation</t>
        </is>
      </c>
      <c r="C98" s="6" t="inlineStr">
        <is>
          <t>Semiconductores</t>
        </is>
      </c>
      <c r="D98" s="7" t="n">
        <v>187.67</v>
      </c>
      <c r="E98" s="11">
        <f>ROUND(L98*0.105+M98*0.158+N98*0.421+O98*0.053+P98*0.137+Q98*0.126,1)</f>
        <v/>
      </c>
      <c r="F98" s="9" t="inlineStr">
        <is>
          <t>HOLD</t>
        </is>
      </c>
      <c r="G98" s="6" t="n">
        <v>24.5</v>
      </c>
      <c r="H98" s="13" t="n">
        <v>40</v>
      </c>
      <c r="I98" s="10" t="n">
        <v>-0.4</v>
      </c>
      <c r="J98" s="10" t="inlineStr">
        <is>
          <t>10740</t>
        </is>
      </c>
      <c r="K98" s="10" t="inlineStr">
        <is>
          <t>120.0</t>
        </is>
      </c>
      <c r="L98" s="11" t="n">
        <v>25</v>
      </c>
      <c r="M98" s="11" t="n">
        <v>91</v>
      </c>
      <c r="N98" s="11" t="n">
        <v>29</v>
      </c>
      <c r="O98" s="11" t="n">
        <v>14</v>
      </c>
      <c r="P98" s="14" t="n">
        <v>100</v>
      </c>
      <c r="Q98" s="11" t="n">
        <v>50</v>
      </c>
      <c r="R98" s="12" t="inlineStr">
        <is>
          <t>MANTENER NVDA | Score: 50/100 | Precio: $187.67 → Target: $253.19 (Upside: +35%) | FORTALEZAS: alta calidad (ROE 107.4%, margen 63.2%); congresistas comprando recientemente | DEBILIDADES: valoración cara (P/E 24.5x, EV/EBITDA 40.0x); momentum débil (retorno 12M: 31.6%); alta volatilidad (beta 2.31, vol 48.5%)</t>
        </is>
      </c>
    </row>
    <row r="99">
      <c r="A99" s="5" t="inlineStr">
        <is>
          <t>ABBNY</t>
        </is>
      </c>
      <c r="B99" s="6" t="inlineStr">
        <is>
          <t>ABB Ltd.</t>
        </is>
      </c>
      <c r="C99" s="6" t="inlineStr">
        <is>
          <t>Europa Industriales</t>
        </is>
      </c>
      <c r="D99" s="7" t="n">
        <v>76.44</v>
      </c>
      <c r="E99" s="11">
        <f>ROUND(L99*0.105+M99*0.158+N99*0.421+O99*0.053+P99*0.137+Q99*0.126,1)</f>
        <v/>
      </c>
      <c r="F99" s="9" t="inlineStr">
        <is>
          <t>HOLD</t>
        </is>
      </c>
      <c r="G99" s="6" t="n">
        <v>26.9</v>
      </c>
      <c r="H99" s="13" t="n">
        <v>20.7</v>
      </c>
      <c r="I99" s="10" t="n">
        <v>0.5</v>
      </c>
      <c r="J99" s="10" t="inlineStr">
        <is>
          <t>3000</t>
        </is>
      </c>
      <c r="K99" s="10" t="inlineStr">
        <is>
          <t>240.0</t>
        </is>
      </c>
      <c r="L99" s="11" t="n">
        <v>35</v>
      </c>
      <c r="M99" s="11" t="n">
        <v>59</v>
      </c>
      <c r="N99" s="11" t="n">
        <v>47</v>
      </c>
      <c r="O99" s="11" t="n">
        <v>67</v>
      </c>
      <c r="P99" s="11" t="n">
        <v>50</v>
      </c>
      <c r="Q99" s="11" t="n">
        <v>50</v>
      </c>
      <c r="R99" s="12" t="inlineStr">
        <is>
          <t>MANTENER ABBNY | Score: 50/100 | Precio: $76.44 → Target: $65.25 (Upside: -15%) | FORTALEZAS: baja volatilidad (beta 0.85, vol 25.7%)</t>
        </is>
      </c>
    </row>
    <row r="100">
      <c r="A100" s="5" t="inlineStr">
        <is>
          <t>TECK</t>
        </is>
      </c>
      <c r="B100" s="6" t="inlineStr">
        <is>
          <t>Teck Resources Ltd</t>
        </is>
      </c>
      <c r="C100" s="6" t="inlineStr">
        <is>
          <t>Cobre Litio</t>
        </is>
      </c>
      <c r="D100" s="7" t="n">
        <v>53.01</v>
      </c>
      <c r="E100" s="11">
        <f>ROUND(L100*0.105+M100*0.158+N100*0.421+O100*0.053+P100*0.137+Q100*0.126,1)</f>
        <v/>
      </c>
      <c r="F100" s="9" t="inlineStr">
        <is>
          <t>HOLD</t>
        </is>
      </c>
      <c r="G100" s="6" t="n">
        <v>23.7</v>
      </c>
      <c r="H100" s="10" t="n">
        <v>9.5</v>
      </c>
      <c r="I100" s="10" t="n">
        <v>1.5</v>
      </c>
      <c r="J100" s="10" t="inlineStr">
        <is>
          <t>310</t>
        </is>
      </c>
      <c r="K100" s="13" t="inlineStr">
        <is>
          <t>-140.0</t>
        </is>
      </c>
      <c r="L100" s="11" t="n">
        <v>39</v>
      </c>
      <c r="M100" s="11" t="n">
        <v>28</v>
      </c>
      <c r="N100" s="11" t="n">
        <v>64</v>
      </c>
      <c r="O100" s="11" t="n">
        <v>19</v>
      </c>
      <c r="P100" s="11" t="n">
        <v>50</v>
      </c>
      <c r="Q100" s="11" t="n">
        <v>50</v>
      </c>
      <c r="R100" s="12" t="inlineStr">
        <is>
          <t>MANTENER TECK | Score: 50/100 | Precio: $53.01 → Target: $47.51 (Upside: -10%) | DEBILIDADES: baja calidad operativa (ROE bajo, márgenes débiles); alta volatilidad (beta 1.54, vol 47.1%)</t>
        </is>
      </c>
    </row>
    <row r="101">
      <c r="A101" s="5" t="inlineStr">
        <is>
          <t>DIS</t>
        </is>
      </c>
      <c r="B101" s="6" t="inlineStr">
        <is>
          <t>Walt Disney Company (The)</t>
        </is>
      </c>
      <c r="C101" s="6" t="inlineStr">
        <is>
          <t>Streaming Media</t>
        </is>
      </c>
      <c r="D101" s="7" t="n">
        <v>110.98</v>
      </c>
      <c r="E101" s="11">
        <f>ROUND(L101*0.105+M101*0.158+N101*0.421+O101*0.053+P101*0.137+Q101*0.126,1)</f>
        <v/>
      </c>
      <c r="F101" s="9" t="inlineStr">
        <is>
          <t>HOLD</t>
        </is>
      </c>
      <c r="G101" s="6" t="n">
        <v>15.1</v>
      </c>
      <c r="H101" s="6" t="n">
        <v>12.5</v>
      </c>
      <c r="I101" s="6" t="n">
        <v>2</v>
      </c>
      <c r="J101" s="10" t="inlineStr">
        <is>
          <t>1220</t>
        </is>
      </c>
      <c r="K101" s="10" t="inlineStr">
        <is>
          <t>350.0</t>
        </is>
      </c>
      <c r="L101" s="11" t="n">
        <v>63</v>
      </c>
      <c r="M101" s="11" t="n">
        <v>32</v>
      </c>
      <c r="N101" s="11" t="n">
        <v>54</v>
      </c>
      <c r="O101" s="11" t="n">
        <v>39</v>
      </c>
      <c r="P101" s="11" t="n">
        <v>50</v>
      </c>
      <c r="Q101" s="11" t="n">
        <v>50</v>
      </c>
      <c r="R101" s="12" t="inlineStr">
        <is>
          <t>MANTENER DIS | Score: 50/100 | Precio: $110.98 → Target: $132.20 (Upside: +19%) | DEBILIDADES: baja calidad operativa (ROE bajo, márgenes débiles)</t>
        </is>
      </c>
    </row>
    <row r="102">
      <c r="A102" s="5" t="inlineStr">
        <is>
          <t>TOELY</t>
        </is>
      </c>
      <c r="B102" s="6" t="inlineStr">
        <is>
          <t>Tokyo Electron Ltd.</t>
        </is>
      </c>
      <c r="C102" s="6" t="inlineStr">
        <is>
          <t>Semiconductores</t>
        </is>
      </c>
      <c r="D102" s="7" t="n">
        <v>132.8</v>
      </c>
      <c r="E102" s="11">
        <f>ROUND(L102*0.105+M102*0.158+N102*0.421+O102*0.053+P102*0.137+Q102*0.126,1)</f>
        <v/>
      </c>
      <c r="F102" s="9" t="inlineStr">
        <is>
          <t>HOLD</t>
        </is>
      </c>
      <c r="G102" s="13" t="n">
        <v>35.7</v>
      </c>
      <c r="H102" s="10" t="n">
        <v>-0.5</v>
      </c>
      <c r="I102" s="10" t="n">
        <v>-0.6</v>
      </c>
      <c r="J102" s="10" t="inlineStr">
        <is>
          <t>2850</t>
        </is>
      </c>
      <c r="K102" s="10" t="inlineStr">
        <is>
          <t>13340.0</t>
        </is>
      </c>
      <c r="L102" s="11" t="n">
        <v>67</v>
      </c>
      <c r="M102" s="11" t="n">
        <v>70</v>
      </c>
      <c r="N102" s="11" t="n">
        <v>40</v>
      </c>
      <c r="O102" s="11" t="n">
        <v>25</v>
      </c>
      <c r="P102" s="11" t="n">
        <v>50</v>
      </c>
      <c r="Q102" s="11" t="n">
        <v>50</v>
      </c>
      <c r="R102" s="12" t="inlineStr">
        <is>
          <t>MANTENER TOELY | Score: 50/100 | FORTALEZAS: valoración atractiva (EV/EBITDA -0.5x); alta calidad (ROE 28.5%, margen 25.1%) | DEBILIDADES: alta volatilidad (beta 1.24, vol 48.5%) | ESTRATEGIA: Largo plazo (value-quality) - empresa dominante a buen precio</t>
        </is>
      </c>
    </row>
    <row r="103">
      <c r="A103" s="5" t="inlineStr">
        <is>
          <t>BNTX</t>
        </is>
      </c>
      <c r="B103" s="6" t="inlineStr">
        <is>
          <t>BioNTech SE</t>
        </is>
      </c>
      <c r="C103" s="6" t="inlineStr">
        <is>
          <t>Biotech</t>
        </is>
      </c>
      <c r="D103" s="7" t="n">
        <v>115.98</v>
      </c>
      <c r="E103" s="11">
        <f>ROUND(L103*0.105+M103*0.158+N103*0.421+O103*0.053+P103*0.137+Q103*0.126,1)</f>
        <v/>
      </c>
      <c r="F103" s="9" t="inlineStr">
        <is>
          <t>HOLD</t>
        </is>
      </c>
      <c r="G103" s="10" t="n">
        <v>-41.2</v>
      </c>
      <c r="H103" s="10" t="n">
        <v>-29.1</v>
      </c>
      <c r="I103" s="6" t="inlineStr">
        <is>
          <t>-</t>
        </is>
      </c>
      <c r="J103" s="13" t="inlineStr">
        <is>
          <t>-300</t>
        </is>
      </c>
      <c r="K103" s="13" t="inlineStr">
        <is>
          <t>-220.0</t>
        </is>
      </c>
      <c r="L103" s="11" t="n">
        <v>68</v>
      </c>
      <c r="M103" s="11" t="n">
        <v>21</v>
      </c>
      <c r="N103" s="11" t="n">
        <v>58</v>
      </c>
      <c r="O103" s="11" t="n">
        <v>21</v>
      </c>
      <c r="P103" s="11" t="n">
        <v>50</v>
      </c>
      <c r="Q103" s="11" t="n">
        <v>50</v>
      </c>
      <c r="R103" s="12" t="inlineStr">
        <is>
          <t>MANTENER BNTX | Score: 49/100 | Precio: $115.98 → Target: $140.82 (Upside: +21%) | FORTALEZAS: valoración atractiva (P/E -41.2x, EV/EBITDA -29.1x) | DEBILIDADES: baja calidad operativa (ROE bajo, márgenes débiles); alta volatilidad (beta 1.41, vol 48.9%)</t>
        </is>
      </c>
    </row>
    <row r="104">
      <c r="A104" s="5" t="inlineStr">
        <is>
          <t>AES</t>
        </is>
      </c>
      <c r="B104" s="6" t="inlineStr">
        <is>
          <t>The AES Corporation</t>
        </is>
      </c>
      <c r="C104" s="6" t="inlineStr">
        <is>
          <t>Energia Renovables</t>
        </is>
      </c>
      <c r="D104" s="7" t="n">
        <v>14.25</v>
      </c>
      <c r="E104" s="11">
        <f>ROUND(L104*0.105+M104*0.158+N104*0.421+O104*0.053+P104*0.137+Q104*0.126,1)</f>
        <v/>
      </c>
      <c r="F104" s="9" t="inlineStr">
        <is>
          <t>HOLD</t>
        </is>
      </c>
      <c r="G104" s="10" t="n">
        <v>6.2</v>
      </c>
      <c r="H104" s="6" t="n">
        <v>14.6</v>
      </c>
      <c r="I104" s="13" t="n">
        <v>9.4</v>
      </c>
      <c r="J104" s="10" t="inlineStr">
        <is>
          <t>510</t>
        </is>
      </c>
      <c r="K104" s="13" t="inlineStr">
        <is>
          <t>-3640.0</t>
        </is>
      </c>
      <c r="L104" s="11" t="n">
        <v>51</v>
      </c>
      <c r="M104" s="11" t="n">
        <v>24</v>
      </c>
      <c r="N104" s="11" t="n">
        <v>60</v>
      </c>
      <c r="O104" s="11" t="n">
        <v>34</v>
      </c>
      <c r="P104" s="11" t="n">
        <v>50</v>
      </c>
      <c r="Q104" s="11" t="n">
        <v>50</v>
      </c>
      <c r="R104" s="12" t="inlineStr">
        <is>
          <t>MANTENER AES | Score: 49/100 | Precio: $14.25 → Target: $15.21 (Upside: +7%) | DEBILIDADES: baja calidad operativa (ROE bajo, márgenes débiles); alta volatilidad (beta 0.97, vol 49.2%)</t>
        </is>
      </c>
    </row>
    <row r="105">
      <c r="A105" s="5" t="inlineStr">
        <is>
          <t>DEO</t>
        </is>
      </c>
      <c r="B105" s="6" t="inlineStr">
        <is>
          <t>Diageo plc</t>
        </is>
      </c>
      <c r="C105" s="6" t="inlineStr">
        <is>
          <t>Defensivo</t>
        </is>
      </c>
      <c r="D105" s="7" t="n">
        <v>91.48999999999999</v>
      </c>
      <c r="E105" s="11">
        <f>ROUND(L105*0.105+M105*0.158+N105*0.421+O105*0.053+P105*0.137+Q105*0.126,1)</f>
        <v/>
      </c>
      <c r="F105" s="9" t="inlineStr">
        <is>
          <t>HOLD</t>
        </is>
      </c>
      <c r="G105" s="10" t="n">
        <v>13.7</v>
      </c>
      <c r="H105" s="13" t="n">
        <v>36.2</v>
      </c>
      <c r="I105" s="6" t="n">
        <v>3.5</v>
      </c>
      <c r="J105" s="10" t="inlineStr">
        <is>
          <t>2010</t>
        </is>
      </c>
      <c r="K105" s="10" t="inlineStr">
        <is>
          <t>330.0</t>
        </is>
      </c>
      <c r="L105" s="11" t="n">
        <v>48</v>
      </c>
      <c r="M105" s="11" t="n">
        <v>46</v>
      </c>
      <c r="N105" s="11" t="n">
        <v>46</v>
      </c>
      <c r="O105" s="11" t="n">
        <v>85</v>
      </c>
      <c r="P105" s="11" t="n">
        <v>50</v>
      </c>
      <c r="Q105" s="11" t="n">
        <v>50</v>
      </c>
      <c r="R105" s="12" t="inlineStr">
        <is>
          <t>MANTENER DEO | Score: 49/100 | Precio: $91.49 → Target: $104.86 (Upside: +15%) | FORTALEZAS: baja volatilidad (beta 0.15, vol 26.9%)</t>
        </is>
      </c>
    </row>
    <row r="106">
      <c r="A106" s="5" t="inlineStr">
        <is>
          <t>SPOT</t>
        </is>
      </c>
      <c r="B106" s="6" t="inlineStr">
        <is>
          <t>Spotify Technology S.A.</t>
        </is>
      </c>
      <c r="C106" s="6" t="inlineStr">
        <is>
          <t>Streaming Media</t>
        </is>
      </c>
      <c r="D106" s="7" t="n">
        <v>513.21</v>
      </c>
      <c r="E106" s="11">
        <f>ROUND(L106*0.105+M106*0.158+N106*0.421+O106*0.053+P106*0.137+Q106*0.126,1)</f>
        <v/>
      </c>
      <c r="F106" s="9" t="inlineStr">
        <is>
          <t>HOLD</t>
        </is>
      </c>
      <c r="G106" s="13" t="n">
        <v>35.5</v>
      </c>
      <c r="H106" s="13" t="n">
        <v>49.3</v>
      </c>
      <c r="I106" s="10" t="n">
        <v>-2.6</v>
      </c>
      <c r="J106" s="10" t="inlineStr">
        <is>
          <t>2260</t>
        </is>
      </c>
      <c r="K106" s="10" t="inlineStr">
        <is>
          <t>70.0</t>
        </is>
      </c>
      <c r="L106" s="11" t="n">
        <v>16</v>
      </c>
      <c r="M106" s="11" t="n">
        <v>63</v>
      </c>
      <c r="N106" s="11" t="n">
        <v>56</v>
      </c>
      <c r="O106" s="11" t="n">
        <v>19</v>
      </c>
      <c r="P106" s="11" t="n">
        <v>50</v>
      </c>
      <c r="Q106" s="11" t="n">
        <v>50</v>
      </c>
      <c r="R106" s="12" t="inlineStr">
        <is>
          <t>MANTENER SPOT | Score: 49/100 | Precio: $513.21 → Target: $735.19 (Upside: +43%) | DEBILIDADES: valoración cara (P/E 35.5x, EV/EBITDA 49.3x); alta volatilidad (beta 1.66, vol 44.0%)</t>
        </is>
      </c>
    </row>
    <row r="107">
      <c r="A107" s="5" t="inlineStr">
        <is>
          <t>ATLKY</t>
        </is>
      </c>
      <c r="B107" s="6" t="inlineStr">
        <is>
          <t>Atlas Copco AB</t>
        </is>
      </c>
      <c r="C107" s="6" t="inlineStr">
        <is>
          <t>Europa Industriales</t>
        </is>
      </c>
      <c r="D107" s="7" t="n">
        <v>21.29</v>
      </c>
      <c r="E107" s="11">
        <f>ROUND(L107*0.105+M107*0.158+N107*0.421+O107*0.053+P107*0.137+Q107*0.126,1)</f>
        <v/>
      </c>
      <c r="F107" s="9" t="inlineStr">
        <is>
          <t>HOLD</t>
        </is>
      </c>
      <c r="G107" s="13" t="n">
        <v>33.2</v>
      </c>
      <c r="H107" s="6" t="inlineStr">
        <is>
          <t>-</t>
        </is>
      </c>
      <c r="I107" s="6" t="inlineStr">
        <is>
          <t>-</t>
        </is>
      </c>
      <c r="J107" s="10" t="inlineStr">
        <is>
          <t>2640</t>
        </is>
      </c>
      <c r="K107" s="10" t="inlineStr">
        <is>
          <t>2840.0</t>
        </is>
      </c>
      <c r="L107" s="11" t="n">
        <v>53</v>
      </c>
      <c r="M107" s="11" t="n">
        <v>57</v>
      </c>
      <c r="N107" s="11" t="n">
        <v>45</v>
      </c>
      <c r="O107" s="11" t="n">
        <v>46</v>
      </c>
      <c r="P107" s="11" t="n">
        <v>50</v>
      </c>
      <c r="Q107" s="11" t="n">
        <v>50</v>
      </c>
      <c r="R107" s="12" t="inlineStr">
        <is>
          <t>MANTENER ATLKY | Score: 49/100 | Precio: $21.29 → Target: $23.00 (Upside: +8%)</t>
        </is>
      </c>
    </row>
    <row r="108">
      <c r="A108" s="5" t="inlineStr">
        <is>
          <t>NEE</t>
        </is>
      </c>
      <c r="B108" s="6" t="inlineStr">
        <is>
          <t>NextEra Energy, Inc.</t>
        </is>
      </c>
      <c r="C108" s="6" t="inlineStr">
        <is>
          <t>Energia Renovables</t>
        </is>
      </c>
      <c r="D108" s="7" t="n">
        <v>84.81</v>
      </c>
      <c r="E108" s="11">
        <f>ROUND(L108*0.105+M108*0.158+N108*0.421+O108*0.053+P108*0.137+Q108*0.126,1)</f>
        <v/>
      </c>
      <c r="F108" s="9" t="inlineStr">
        <is>
          <t>HOLD</t>
        </is>
      </c>
      <c r="G108" s="6" t="n">
        <v>21.1</v>
      </c>
      <c r="H108" s="6" t="n">
        <v>19.2</v>
      </c>
      <c r="I108" s="13" t="n">
        <v>6.3</v>
      </c>
      <c r="J108" s="10" t="inlineStr">
        <is>
          <t>820</t>
        </is>
      </c>
      <c r="K108" s="13" t="inlineStr">
        <is>
          <t>-770.0</t>
        </is>
      </c>
      <c r="L108" s="11" t="n">
        <v>31</v>
      </c>
      <c r="M108" s="11" t="n">
        <v>33</v>
      </c>
      <c r="N108" s="11" t="n">
        <v>55</v>
      </c>
      <c r="O108" s="11" t="n">
        <v>69</v>
      </c>
      <c r="P108" s="11" t="n">
        <v>50</v>
      </c>
      <c r="Q108" s="11" t="n">
        <v>50</v>
      </c>
      <c r="R108" s="12" t="inlineStr">
        <is>
          <t>MANTENER NEE | Score: 49/100 | Precio: $84.81 → Target: $91.42 (Upside: +8%) | FORTALEZAS: baja volatilidad (beta 0.73, vol 26.8%) | DEBILIDADES: valoración cara (P/E 21.1x, EV/EBITDA 19.2x); baja calidad operativa (ROE bajo, márgenes débiles)</t>
        </is>
      </c>
    </row>
    <row r="109">
      <c r="A109" s="5" t="inlineStr">
        <is>
          <t>COP</t>
        </is>
      </c>
      <c r="B109" s="6" t="inlineStr">
        <is>
          <t>ConocoPhillips</t>
        </is>
      </c>
      <c r="C109" s="6" t="inlineStr">
        <is>
          <t>Energia Oil</t>
        </is>
      </c>
      <c r="D109" s="7" t="n">
        <v>98.34999999999999</v>
      </c>
      <c r="E109" s="11">
        <f>ROUND(L109*0.105+M109*0.158+N109*0.421+O109*0.053+P109*0.137+Q109*0.126,1)</f>
        <v/>
      </c>
      <c r="F109" s="9" t="inlineStr">
        <is>
          <t>HOLD</t>
        </is>
      </c>
      <c r="G109" s="6" t="n">
        <v>18.7</v>
      </c>
      <c r="H109" s="10" t="n">
        <v>5.5</v>
      </c>
      <c r="I109" s="10" t="n">
        <v>0.7</v>
      </c>
      <c r="J109" s="10" t="inlineStr">
        <is>
          <t>1540</t>
        </is>
      </c>
      <c r="K109" s="10" t="inlineStr">
        <is>
          <t>500.0</t>
        </is>
      </c>
      <c r="L109" s="11" t="n">
        <v>67</v>
      </c>
      <c r="M109" s="11" t="n">
        <v>49</v>
      </c>
      <c r="N109" s="11" t="n">
        <v>40</v>
      </c>
      <c r="O109" s="11" t="n">
        <v>64</v>
      </c>
      <c r="P109" s="11" t="n">
        <v>50</v>
      </c>
      <c r="Q109" s="11" t="n">
        <v>50</v>
      </c>
      <c r="R109" s="12" t="inlineStr">
        <is>
          <t>MANTENER COP | Score: 48/100 | Precio: $98.35 → Target: $112.96 (Upside: +15%) | FORTALEZAS: valoración atractiva (P/E 18.7x, EV/EBITDA 5.5x)</t>
        </is>
      </c>
    </row>
    <row r="110">
      <c r="A110" s="5" t="inlineStr">
        <is>
          <t>UBS</t>
        </is>
      </c>
      <c r="B110" s="6" t="inlineStr">
        <is>
          <t>UBS Group AG Registered</t>
        </is>
      </c>
      <c r="C110" s="6" t="inlineStr">
        <is>
          <t>Europa Financieras</t>
        </is>
      </c>
      <c r="D110" s="7" t="n">
        <v>47.55</v>
      </c>
      <c r="E110" s="11">
        <f>ROUND(L110*0.105+M110*0.158+N110*0.421+O110*0.053+P110*0.137+Q110*0.126,1)</f>
        <v/>
      </c>
      <c r="F110" s="9" t="inlineStr">
        <is>
          <t>HOLD</t>
        </is>
      </c>
      <c r="G110" s="10" t="n">
        <v>14.9</v>
      </c>
      <c r="H110" s="6" t="inlineStr">
        <is>
          <t>-</t>
        </is>
      </c>
      <c r="I110" s="13" t="n">
        <v>25609043968</v>
      </c>
      <c r="J110" s="10" t="inlineStr">
        <is>
          <t>830</t>
        </is>
      </c>
      <c r="K110" s="6" t="inlineStr">
        <is>
          <t>-</t>
        </is>
      </c>
      <c r="L110" s="11" t="n">
        <v>57</v>
      </c>
      <c r="M110" s="11" t="n">
        <v>26</v>
      </c>
      <c r="N110" s="11" t="n">
        <v>52</v>
      </c>
      <c r="O110" s="11" t="n">
        <v>55</v>
      </c>
      <c r="P110" s="11" t="n">
        <v>50</v>
      </c>
      <c r="Q110" s="11" t="n">
        <v>50</v>
      </c>
      <c r="R110" s="12" t="inlineStr">
        <is>
          <t>MANTENER UBS | Score: 48/100 | Precio: $47.55 → Target: $49.31 (Upside: +4%) | DEBILIDADES: baja calidad operativa (ROE bajo, márgenes débiles)</t>
        </is>
      </c>
    </row>
    <row r="111">
      <c r="A111" s="5" t="inlineStr">
        <is>
          <t>CVX</t>
        </is>
      </c>
      <c r="B111" s="6" t="inlineStr">
        <is>
          <t>Chevron Corporation</t>
        </is>
      </c>
      <c r="C111" s="6" t="inlineStr">
        <is>
          <t>Energia Oil</t>
        </is>
      </c>
      <c r="D111" s="7" t="n">
        <v>166.72</v>
      </c>
      <c r="E111" s="11">
        <f>ROUND(L111*0.105+M111*0.158+N111*0.421+O111*0.053+P111*0.137+Q111*0.126,1)</f>
        <v/>
      </c>
      <c r="F111" s="9" t="inlineStr">
        <is>
          <t>HOLD</t>
        </is>
      </c>
      <c r="G111" s="6" t="n">
        <v>23.8</v>
      </c>
      <c r="H111" s="6" t="n">
        <v>10</v>
      </c>
      <c r="I111" s="10" t="n">
        <v>0.9</v>
      </c>
      <c r="J111" s="10" t="inlineStr">
        <is>
          <t>730</t>
        </is>
      </c>
      <c r="K111" s="10" t="inlineStr">
        <is>
          <t>470.0</t>
        </is>
      </c>
      <c r="L111" s="11" t="n">
        <v>57</v>
      </c>
      <c r="M111" s="11" t="n">
        <v>31</v>
      </c>
      <c r="N111" s="11" t="n">
        <v>49</v>
      </c>
      <c r="O111" s="11" t="n">
        <v>72</v>
      </c>
      <c r="P111" s="11" t="n">
        <v>50</v>
      </c>
      <c r="Q111" s="11" t="n">
        <v>50</v>
      </c>
      <c r="R111" s="12" t="inlineStr">
        <is>
          <t>MANTENER CVX | Score: 48/100 | Precio: $166.72 → Target: $175.78 (Upside: +5%) | FORTALEZAS: baja volatilidad (beta 0.69, vol 25.2%) | DEBILIDADES: baja calidad operativa (ROE bajo, márgenes débiles)</t>
        </is>
      </c>
    </row>
    <row r="112">
      <c r="A112" s="5" t="inlineStr">
        <is>
          <t>NTDOY</t>
        </is>
      </c>
      <c r="B112" s="6" t="inlineStr">
        <is>
          <t>Nintendo Co., Ltd.</t>
        </is>
      </c>
      <c r="C112" s="6" t="inlineStr">
        <is>
          <t>Japan</t>
        </is>
      </c>
      <c r="D112" s="7" t="n">
        <v>16.67</v>
      </c>
      <c r="E112" s="11">
        <f>ROUND(L112*0.105+M112*0.158+N112*0.421+O112*0.053+P112*0.137+Q112*0.126,1)</f>
        <v/>
      </c>
      <c r="F112" s="9" t="inlineStr">
        <is>
          <t>HOLD</t>
        </is>
      </c>
      <c r="G112" s="10" t="n">
        <v>7.8</v>
      </c>
      <c r="H112" s="10" t="n">
        <v>-6.5</v>
      </c>
      <c r="I112" s="10" t="n">
        <v>-6.5</v>
      </c>
      <c r="J112" s="10" t="inlineStr">
        <is>
          <t>1380</t>
        </is>
      </c>
      <c r="K112" s="10" t="inlineStr">
        <is>
          <t>7070.0</t>
        </is>
      </c>
      <c r="L112" s="11" t="n">
        <v>93</v>
      </c>
      <c r="M112" s="11" t="n">
        <v>59</v>
      </c>
      <c r="N112" s="11" t="n">
        <v>30</v>
      </c>
      <c r="O112" s="11" t="n">
        <v>63</v>
      </c>
      <c r="P112" s="11" t="n">
        <v>50</v>
      </c>
      <c r="Q112" s="11" t="n">
        <v>50</v>
      </c>
      <c r="R112" s="12" t="inlineStr">
        <is>
          <t>MANTENER NTDOY | Score: 48/100 | Precio: $16.67 → Target: $35.00 (Upside: +110%) | FORTALEZAS: valoración atractiva (P/E 7.8x, EV/EBITDA -6.5x) | DEBILIDADES: momentum débil (retorno 12M: 6.0%)</t>
        </is>
      </c>
    </row>
    <row r="113">
      <c r="A113" s="5" t="inlineStr">
        <is>
          <t>EQIX</t>
        </is>
      </c>
      <c r="B113" s="6" t="inlineStr">
        <is>
          <t>Equinix, Inc.</t>
        </is>
      </c>
      <c r="C113" s="6" t="inlineStr">
        <is>
          <t>REITs</t>
        </is>
      </c>
      <c r="D113" s="7" t="n">
        <v>791.27</v>
      </c>
      <c r="E113" s="11">
        <f>ROUND(L113*0.105+M113*0.158+N113*0.421+O113*0.053+P113*0.137+Q113*0.126,1)</f>
        <v/>
      </c>
      <c r="F113" s="9" t="inlineStr">
        <is>
          <t>HOLD</t>
        </is>
      </c>
      <c r="G113" s="13" t="n">
        <v>51.9</v>
      </c>
      <c r="H113" s="13" t="n">
        <v>24.8</v>
      </c>
      <c r="I113" s="13" t="n">
        <v>4.8</v>
      </c>
      <c r="J113" s="10" t="inlineStr">
        <is>
          <t>770</t>
        </is>
      </c>
      <c r="K113" s="10" t="inlineStr">
        <is>
          <t>490.0</t>
        </is>
      </c>
      <c r="L113" s="11" t="n">
        <v>34</v>
      </c>
      <c r="M113" s="11" t="n">
        <v>29</v>
      </c>
      <c r="N113" s="11" t="n">
        <v>56</v>
      </c>
      <c r="O113" s="11" t="n">
        <v>58</v>
      </c>
      <c r="P113" s="11" t="n">
        <v>50</v>
      </c>
      <c r="Q113" s="11" t="n">
        <v>50</v>
      </c>
      <c r="R113" s="12" t="inlineStr">
        <is>
          <t>MANTENER EQIX | Score: 48/100 | Precio: $791.27 → Target: $959.12 (Upside: +21%) | DEBILIDADES: valoración cara (P/E 51.9x, EV/EBITDA 24.8x); baja calidad operativa (ROE bajo, márgenes débiles)</t>
        </is>
      </c>
    </row>
    <row r="114">
      <c r="A114" s="5" t="inlineStr">
        <is>
          <t>PLTR</t>
        </is>
      </c>
      <c r="B114" s="6" t="inlineStr">
        <is>
          <t>Palantir Technologies Inc</t>
        </is>
      </c>
      <c r="C114" s="6" t="inlineStr">
        <is>
          <t>IA Software</t>
        </is>
      </c>
      <c r="D114" s="7" t="n">
        <v>169.6</v>
      </c>
      <c r="E114" s="11">
        <f>ROUND(L114*0.105+M114*0.158+N114*0.421+O114*0.053+P114*0.137+Q114*0.126,1)</f>
        <v/>
      </c>
      <c r="F114" s="9" t="inlineStr">
        <is>
          <t>HOLD</t>
        </is>
      </c>
      <c r="G114" s="13" t="n">
        <v>167.6</v>
      </c>
      <c r="H114" s="13" t="n">
        <v>454.6</v>
      </c>
      <c r="I114" s="10" t="n">
        <v>-7.1</v>
      </c>
      <c r="J114" s="10" t="inlineStr">
        <is>
          <t>1950</t>
        </is>
      </c>
      <c r="K114" s="10" t="inlineStr">
        <is>
          <t>30.0</t>
        </is>
      </c>
      <c r="L114" s="11" t="n">
        <v>7</v>
      </c>
      <c r="M114" s="11" t="n">
        <v>75</v>
      </c>
      <c r="N114" s="11" t="n">
        <v>50</v>
      </c>
      <c r="O114" s="11" t="n">
        <v>9</v>
      </c>
      <c r="P114" s="11" t="n">
        <v>50</v>
      </c>
      <c r="Q114" s="11" t="n">
        <v>50</v>
      </c>
      <c r="R114" s="12" t="inlineStr">
        <is>
          <t>MANTENER PLTR | Score: 47/100 | Precio: $169.60 → Target: $190.25 (Upside: +12%) | FORTALEZAS: alta calidad (ROE 19.5%, margen 33.3%) | DEBILIDADES: valoración cara (P/E 167.6x, EV/EBITDA 454.6x); alta volatilidad (beta 1.54, vol 66.3%)</t>
        </is>
      </c>
    </row>
    <row r="115">
      <c r="A115" s="5" t="inlineStr">
        <is>
          <t>ASML</t>
        </is>
      </c>
      <c r="B115" s="6" t="inlineStr">
        <is>
          <t>ASML Holding N.V. - New Y</t>
        </is>
      </c>
      <c r="C115" s="6" t="inlineStr">
        <is>
          <t>Semiconductores</t>
        </is>
      </c>
      <c r="D115" s="7" t="n">
        <v>1389.04</v>
      </c>
      <c r="E115" s="11">
        <f>ROUND(L115*0.105+M115*0.158+N115*0.421+O115*0.053+P115*0.137+Q115*0.126,1)</f>
        <v/>
      </c>
      <c r="F115" s="9" t="inlineStr">
        <is>
          <t>HOLD</t>
        </is>
      </c>
      <c r="G115" s="13" t="n">
        <v>43</v>
      </c>
      <c r="H115" s="13" t="n">
        <v>44</v>
      </c>
      <c r="I115" s="10" t="n">
        <v>-0.2</v>
      </c>
      <c r="J115" s="10" t="inlineStr">
        <is>
          <t>5390</t>
        </is>
      </c>
      <c r="K115" s="10" t="inlineStr">
        <is>
          <t>170.0</t>
        </is>
      </c>
      <c r="L115" s="11" t="n">
        <v>19</v>
      </c>
      <c r="M115" s="11" t="n">
        <v>79</v>
      </c>
      <c r="N115" s="11" t="n">
        <v>43</v>
      </c>
      <c r="O115" s="11" t="n">
        <v>27</v>
      </c>
      <c r="P115" s="11" t="n">
        <v>50</v>
      </c>
      <c r="Q115" s="11" t="n">
        <v>50</v>
      </c>
      <c r="R115" s="12" t="inlineStr">
        <is>
          <t>MANTENER ASML | Score: 47/100 | Precio: $1389.04 → Target: $1347.60 (Upside: -3%) | FORTALEZAS: alta calidad (ROE 53.9%, margen 32.8%) | DEBILIDADES: valoración cara (P/E 43.0x, EV/EBITDA 44.0x); alta volatilidad (beta 1.34, vol 41.3%)</t>
        </is>
      </c>
    </row>
    <row r="116">
      <c r="A116" s="5" t="inlineStr">
        <is>
          <t>CEMEX</t>
        </is>
      </c>
      <c r="B116" s="6" t="inlineStr">
        <is>
          <t>CEMEX</t>
        </is>
      </c>
      <c r="C116" s="6" t="inlineStr">
        <is>
          <t>Latam</t>
        </is>
      </c>
      <c r="D116" s="7" t="n">
        <v>17.79</v>
      </c>
      <c r="E116" s="11">
        <f>ROUND(L116*0.105+M116*0.158+N116*0.421+O116*0.053+P116*0.137+Q116*0.126,1)</f>
        <v/>
      </c>
      <c r="F116" s="9" t="inlineStr">
        <is>
          <t>HOLD</t>
        </is>
      </c>
      <c r="G116" s="6" t="inlineStr">
        <is>
          <t>-</t>
        </is>
      </c>
      <c r="H116" s="6" t="inlineStr">
        <is>
          <t>-</t>
        </is>
      </c>
      <c r="I116" s="6" t="inlineStr">
        <is>
          <t>-</t>
        </is>
      </c>
      <c r="J116" s="6" t="inlineStr">
        <is>
          <t>-</t>
        </is>
      </c>
      <c r="K116" s="6" t="inlineStr">
        <is>
          <t>-</t>
        </is>
      </c>
      <c r="L116" s="11" t="n">
        <v>50</v>
      </c>
      <c r="M116" s="11" t="n">
        <v>50</v>
      </c>
      <c r="N116" s="11" t="n">
        <v>40</v>
      </c>
      <c r="O116" s="11" t="n">
        <v>71</v>
      </c>
      <c r="P116" s="11" t="n">
        <v>50</v>
      </c>
      <c r="Q116" s="11" t="n">
        <v>50</v>
      </c>
      <c r="R116" s="12" t="inlineStr">
        <is>
          <t>MANTENER CEMEX | Score: 47/100 | FORTALEZAS: baja volatilidad (beta 1.00, vol 8.5%)</t>
        </is>
      </c>
    </row>
    <row r="117">
      <c r="A117" s="5" t="inlineStr">
        <is>
          <t>DLR</t>
        </is>
      </c>
      <c r="B117" s="6" t="inlineStr">
        <is>
          <t>Digital Realty Trust, Inc</t>
        </is>
      </c>
      <c r="C117" s="6" t="inlineStr">
        <is>
          <t>REITs</t>
        </is>
      </c>
      <c r="D117" s="7" t="n">
        <v>159.16</v>
      </c>
      <c r="E117" s="11">
        <f>ROUND(L117*0.105+M117*0.158+N117*0.421+O117*0.053+P117*0.137+Q117*0.126,1)</f>
        <v/>
      </c>
      <c r="F117" s="9" t="inlineStr">
        <is>
          <t>HOLD</t>
        </is>
      </c>
      <c r="G117" s="13" t="n">
        <v>44.1</v>
      </c>
      <c r="H117" s="13" t="n">
        <v>27.7</v>
      </c>
      <c r="I117" s="13" t="n">
        <v>6.2</v>
      </c>
      <c r="J117" s="10" t="inlineStr">
        <is>
          <t>580</t>
        </is>
      </c>
      <c r="K117" s="10" t="inlineStr">
        <is>
          <t>390.0</t>
        </is>
      </c>
      <c r="L117" s="11" t="n">
        <v>31</v>
      </c>
      <c r="M117" s="11" t="n">
        <v>20</v>
      </c>
      <c r="N117" s="11" t="n">
        <v>58</v>
      </c>
      <c r="O117" s="11" t="n">
        <v>54</v>
      </c>
      <c r="P117" s="11" t="n">
        <v>50</v>
      </c>
      <c r="Q117" s="11" t="n">
        <v>50</v>
      </c>
      <c r="R117" s="12" t="inlineStr">
        <is>
          <t>MANTENER DLR | Score: 47/100 | Precio: $159.16 → Target: $195.04 (Upside: +23%) | DEBILIDADES: valoración cara (P/E 44.1x, EV/EBITDA 27.7x); baja calidad operativa (ROE bajo, márgenes débiles)</t>
        </is>
      </c>
    </row>
    <row r="118">
      <c r="A118" s="5" t="inlineStr">
        <is>
          <t>AIR.PA</t>
        </is>
      </c>
      <c r="B118" s="6" t="inlineStr">
        <is>
          <t>AIRBUS SE</t>
        </is>
      </c>
      <c r="C118" s="6" t="inlineStr">
        <is>
          <t>Europa Industriales</t>
        </is>
      </c>
      <c r="D118" s="7" t="n">
        <v>206.8</v>
      </c>
      <c r="E118" s="11">
        <f>ROUND(L118*0.105+M118*0.158+N118*0.421+O118*0.053+P118*0.137+Q118*0.126,1)</f>
        <v/>
      </c>
      <c r="F118" s="9" t="inlineStr">
        <is>
          <t>HOLD</t>
        </is>
      </c>
      <c r="G118" s="6" t="n">
        <v>26.4</v>
      </c>
      <c r="H118" s="13" t="n">
        <v>21.2</v>
      </c>
      <c r="I118" s="10" t="n">
        <v>0.2</v>
      </c>
      <c r="J118" s="10" t="inlineStr">
        <is>
          <t>2310</t>
        </is>
      </c>
      <c r="K118" s="13" t="inlineStr">
        <is>
          <t>-30.0</t>
        </is>
      </c>
      <c r="L118" s="11" t="n">
        <v>26</v>
      </c>
      <c r="M118" s="11" t="n">
        <v>51</v>
      </c>
      <c r="N118" s="11" t="n">
        <v>45</v>
      </c>
      <c r="O118" s="11" t="n">
        <v>58</v>
      </c>
      <c r="P118" s="11" t="n">
        <v>50</v>
      </c>
      <c r="Q118" s="11" t="n">
        <v>50</v>
      </c>
      <c r="R118" s="12" t="inlineStr">
        <is>
          <t>MANTENER AIR.PA | Score: 46/100 | Precio: $206.80 → Target: $227.75 (Upside: +10%) | DEBILIDADES: valoración cara (P/E 26.4x, EV/EBITDA 21.2x)</t>
        </is>
      </c>
    </row>
    <row r="119">
      <c r="A119" s="5" t="inlineStr">
        <is>
          <t>TM</t>
        </is>
      </c>
      <c r="B119" s="6" t="inlineStr">
        <is>
          <t>Toyota Motor Corporation</t>
        </is>
      </c>
      <c r="C119" s="6" t="inlineStr">
        <is>
          <t>Japan</t>
        </is>
      </c>
      <c r="D119" s="7" t="n">
        <v>226.28</v>
      </c>
      <c r="E119" s="11">
        <f>ROUND(L119*0.105+M119*0.158+N119*0.421+O119*0.053+P119*0.137+Q119*0.126,1)</f>
        <v/>
      </c>
      <c r="F119" s="9" t="inlineStr">
        <is>
          <t>HOLD</t>
        </is>
      </c>
      <c r="G119" s="10" t="n">
        <v>14.3</v>
      </c>
      <c r="H119" s="10" t="n">
        <v>4.4</v>
      </c>
      <c r="I119" s="6" t="n">
        <v>3.7</v>
      </c>
      <c r="J119" s="10" t="inlineStr">
        <is>
          <t>1290</t>
        </is>
      </c>
      <c r="K119" s="10" t="inlineStr">
        <is>
          <t>2660.0</t>
        </is>
      </c>
      <c r="L119" s="11" t="n">
        <v>80</v>
      </c>
      <c r="M119" s="11" t="n">
        <v>24</v>
      </c>
      <c r="N119" s="11" t="n">
        <v>38</v>
      </c>
      <c r="O119" s="11" t="n">
        <v>75</v>
      </c>
      <c r="P119" s="11" t="n">
        <v>50</v>
      </c>
      <c r="Q119" s="11" t="n">
        <v>50</v>
      </c>
      <c r="R119" s="12" t="inlineStr">
        <is>
          <t>MANTENER TM | Score: 45/100 | Precio: $226.28 → Target: $244.23 (Upside: +8%) | FORTALEZAS: valoración atractiva (P/E 14.3x, EV/EBITDA 4.4x); baja volatilidad (beta 0.19, vol 31.1%) | DEBILIDADES: baja calidad operativa (ROE bajo, márgenes débiles)</t>
        </is>
      </c>
    </row>
    <row r="120">
      <c r="A120" s="5" t="inlineStr">
        <is>
          <t>RDY</t>
        </is>
      </c>
      <c r="B120" s="6" t="inlineStr">
        <is>
          <t xml:space="preserve">Dr. Reddy's Laboratories </t>
        </is>
      </c>
      <c r="C120" s="6" t="inlineStr">
        <is>
          <t>India</t>
        </is>
      </c>
      <c r="D120" s="7" t="n">
        <v>13.68</v>
      </c>
      <c r="E120" s="11">
        <f>ROUND(L120*0.105+M120*0.158+N120*0.421+O120*0.053+P120*0.137+Q120*0.126,1)</f>
        <v/>
      </c>
      <c r="F120" s="9" t="inlineStr">
        <is>
          <t>HOLD</t>
        </is>
      </c>
      <c r="G120" s="6" t="n">
        <v>24.2</v>
      </c>
      <c r="H120" s="6" t="inlineStr">
        <is>
          <t>-</t>
        </is>
      </c>
      <c r="I120" s="10" t="n">
        <v>-0.2</v>
      </c>
      <c r="J120" s="10" t="inlineStr">
        <is>
          <t>1610</t>
        </is>
      </c>
      <c r="K120" s="10" t="inlineStr">
        <is>
          <t>11730.0</t>
        </is>
      </c>
      <c r="L120" s="11" t="n">
        <v>72</v>
      </c>
      <c r="M120" s="11" t="n">
        <v>54</v>
      </c>
      <c r="N120" s="11" t="n">
        <v>27</v>
      </c>
      <c r="O120" s="11" t="n">
        <v>86</v>
      </c>
      <c r="P120" s="11" t="n">
        <v>50</v>
      </c>
      <c r="Q120" s="11" t="n">
        <v>50</v>
      </c>
      <c r="R120" s="12" t="inlineStr">
        <is>
          <t>MANTENER RDY | Score: 45/100 | Precio: $13.68 → Target: $14.32 (Upside: +5%) | FORTALEZAS: valoración atractiva (P/E 24.2x); baja volatilidad (beta 0.32, vol 23.6%) | DEBILIDADES: momentum débil (retorno 12M: -1.7%)</t>
        </is>
      </c>
    </row>
    <row r="121">
      <c r="A121" s="5" t="inlineStr">
        <is>
          <t>TCEHY</t>
        </is>
      </c>
      <c r="B121" s="6" t="inlineStr">
        <is>
          <t>Tencent Holding Ltd.</t>
        </is>
      </c>
      <c r="C121" s="6" t="inlineStr">
        <is>
          <t>China Tech</t>
        </is>
      </c>
      <c r="D121" s="7" t="n">
        <v>76.72</v>
      </c>
      <c r="E121" s="11">
        <f>ROUND(L121*0.105+M121*0.158+N121*0.421+O121*0.053+P121*0.137+Q121*0.126,1)</f>
        <v/>
      </c>
      <c r="F121" s="9" t="inlineStr">
        <is>
          <t>HOLD</t>
        </is>
      </c>
      <c r="G121" s="6" t="n">
        <v>16.6</v>
      </c>
      <c r="H121" s="10" t="n">
        <v>3</v>
      </c>
      <c r="I121" s="10" t="n">
        <v>-0.1</v>
      </c>
      <c r="J121" s="10" t="inlineStr">
        <is>
          <t>1980</t>
        </is>
      </c>
      <c r="K121" s="10" t="inlineStr">
        <is>
          <t>1870.0</t>
        </is>
      </c>
      <c r="L121" s="11" t="n">
        <v>78</v>
      </c>
      <c r="M121" s="11" t="n">
        <v>67</v>
      </c>
      <c r="N121" s="11" t="n">
        <v>48</v>
      </c>
      <c r="O121" s="11" t="n">
        <v>52</v>
      </c>
      <c r="P121" s="11" t="n">
        <v>50</v>
      </c>
      <c r="Q121" s="11" t="n">
        <v>50</v>
      </c>
      <c r="R121" s="12" t="inlineStr">
        <is>
          <t>MANTENER TCEHY | Score: 45/100 | Precio: $76.72 → Target: $97.40 (Upside: +27%) | FORTALEZAS: valoración atractiva (P/E 16.6x, EV/EBITDA 3.0x); alta calidad (ROE 19.8%, margen 33.0%)</t>
        </is>
      </c>
    </row>
    <row r="122">
      <c r="A122" s="5" t="inlineStr">
        <is>
          <t>INFY</t>
        </is>
      </c>
      <c r="B122" s="6" t="inlineStr">
        <is>
          <t>Infosys Limited</t>
        </is>
      </c>
      <c r="C122" s="6" t="inlineStr">
        <is>
          <t>India</t>
        </is>
      </c>
      <c r="D122" s="7" t="n">
        <v>18.24</v>
      </c>
      <c r="E122" s="11">
        <f>ROUND(L122*0.105+M122*0.158+N122*0.421+O122*0.053+P122*0.137+Q122*0.126,1)</f>
        <v/>
      </c>
      <c r="F122" s="9" t="inlineStr">
        <is>
          <t>HOLD</t>
        </is>
      </c>
      <c r="G122" s="6" t="n">
        <v>21.4</v>
      </c>
      <c r="H122" s="6" t="n">
        <v>16.4</v>
      </c>
      <c r="I122" s="10" t="n">
        <v>-0.5</v>
      </c>
      <c r="J122" s="10" t="inlineStr">
        <is>
          <t>3270</t>
        </is>
      </c>
      <c r="K122" s="10" t="inlineStr">
        <is>
          <t>95640.0</t>
        </is>
      </c>
      <c r="L122" s="11" t="n">
        <v>63</v>
      </c>
      <c r="M122" s="11" t="n">
        <v>68</v>
      </c>
      <c r="N122" s="11" t="n">
        <v>23</v>
      </c>
      <c r="O122" s="11" t="n">
        <v>76</v>
      </c>
      <c r="P122" s="11" t="n">
        <v>50</v>
      </c>
      <c r="Q122" s="11" t="n">
        <v>50</v>
      </c>
      <c r="R122" s="12" t="inlineStr">
        <is>
          <t>MANTENER INFY | Score: 44/100 | Precio: $18.24 → Target: $19.29 (Upside: +6%) | FORTALEZAS: alta calidad (ROE 32.7%, margen 18.4%); baja volatilidad (beta 0.26, vol 29.5%) | DEBILIDADES: momentum débil (retorno 12M: -13.4%)</t>
        </is>
      </c>
    </row>
    <row r="123">
      <c r="A123" s="5" t="inlineStr">
        <is>
          <t>VST</t>
        </is>
      </c>
      <c r="B123" s="6" t="inlineStr">
        <is>
          <t>Vistra Corp.</t>
        </is>
      </c>
      <c r="C123" s="6" t="inlineStr">
        <is>
          <t>Nuclear</t>
        </is>
      </c>
      <c r="D123" s="7" t="n">
        <v>160.12</v>
      </c>
      <c r="E123" s="11">
        <f>ROUND(L123*0.105+M123*0.158+N123*0.421+O123*0.053+P123*0.137+Q123*0.126,1)</f>
        <v/>
      </c>
      <c r="F123" s="9" t="inlineStr">
        <is>
          <t>HOLD</t>
        </is>
      </c>
      <c r="G123" s="6" t="n">
        <v>17</v>
      </c>
      <c r="H123" s="6" t="n">
        <v>14.1</v>
      </c>
      <c r="I123" s="6" t="n">
        <v>3.2</v>
      </c>
      <c r="J123" s="10" t="inlineStr">
        <is>
          <t>1730</t>
        </is>
      </c>
      <c r="K123" s="10" t="inlineStr">
        <is>
          <t>340.0</t>
        </is>
      </c>
      <c r="L123" s="11" t="n">
        <v>59</v>
      </c>
      <c r="M123" s="11" t="n">
        <v>41</v>
      </c>
      <c r="N123" s="11" t="n">
        <v>40</v>
      </c>
      <c r="O123" s="11" t="n">
        <v>11</v>
      </c>
      <c r="P123" s="11" t="n">
        <v>50</v>
      </c>
      <c r="Q123" s="11" t="n">
        <v>50</v>
      </c>
      <c r="R123" s="12" t="inlineStr">
        <is>
          <t>MANTENER VST | Score: 43/100 | Precio: $160.12 → Target: $230.05 (Upside: +44%) | DEBILIDADES: alta volatilidad (beta 1.42, vol 66.8%)</t>
        </is>
      </c>
    </row>
    <row r="124">
      <c r="A124" s="5" t="inlineStr">
        <is>
          <t>HDB</t>
        </is>
      </c>
      <c r="B124" s="6" t="inlineStr">
        <is>
          <t>HDFC Bank Limited</t>
        </is>
      </c>
      <c r="C124" s="6" t="inlineStr">
        <is>
          <t>India</t>
        </is>
      </c>
      <c r="D124" s="7" t="n">
        <v>32.06</v>
      </c>
      <c r="E124" s="11">
        <f>ROUND(L124*0.105+M124*0.158+N124*0.421+O124*0.053+P124*0.137+Q124*0.126,1)</f>
        <v/>
      </c>
      <c r="F124" s="9" t="inlineStr">
        <is>
          <t>HOLD</t>
        </is>
      </c>
      <c r="G124" s="6" t="n">
        <v>23.5</v>
      </c>
      <c r="H124" s="6" t="inlineStr">
        <is>
          <t>-</t>
        </is>
      </c>
      <c r="I124" s="13" t="n">
        <v>4882424922112</v>
      </c>
      <c r="J124" s="10" t="inlineStr">
        <is>
          <t>1400</t>
        </is>
      </c>
      <c r="K124" s="6" t="inlineStr">
        <is>
          <t>-</t>
        </is>
      </c>
      <c r="L124" s="11" t="n">
        <v>46</v>
      </c>
      <c r="M124" s="11" t="n">
        <v>40</v>
      </c>
      <c r="N124" s="11" t="n">
        <v>35</v>
      </c>
      <c r="O124" s="11" t="n">
        <v>82</v>
      </c>
      <c r="P124" s="11" t="n">
        <v>50</v>
      </c>
      <c r="Q124" s="11" t="n">
        <v>50</v>
      </c>
      <c r="R124" s="12" t="inlineStr">
        <is>
          <t>MANTENER HDB | Score: 43/100 | Precio: $32.06 → Target: $42.95 (Upside: +34%) | FORTALEZAS: baja volatilidad (beta 0.46, vol 21.0%) | DEBILIDADES: momentum débil (retorno 12M: 11.3%)</t>
        </is>
      </c>
    </row>
    <row r="125">
      <c r="A125" s="5" t="inlineStr">
        <is>
          <t>CEG</t>
        </is>
      </c>
      <c r="B125" s="6" t="inlineStr">
        <is>
          <t>Constellation Energy Corp</t>
        </is>
      </c>
      <c r="C125" s="6" t="inlineStr">
        <is>
          <t>Nuclear</t>
        </is>
      </c>
      <c r="D125" s="7" t="n">
        <v>289.06</v>
      </c>
      <c r="E125" s="11">
        <f>ROUND(L125*0.105+M125*0.158+N125*0.421+O125*0.053+P125*0.137+Q125*0.126,1)</f>
        <v/>
      </c>
      <c r="F125" s="9" t="inlineStr">
        <is>
          <t>HOLD</t>
        </is>
      </c>
      <c r="G125" s="6" t="n">
        <v>25</v>
      </c>
      <c r="H125" s="6" t="n">
        <v>16.1</v>
      </c>
      <c r="I125" s="10" t="n">
        <v>0.8</v>
      </c>
      <c r="J125" s="10" t="inlineStr">
        <is>
          <t>1980</t>
        </is>
      </c>
      <c r="K125" s="10" t="inlineStr">
        <is>
          <t>290.0</t>
        </is>
      </c>
      <c r="L125" s="11" t="n">
        <v>44</v>
      </c>
      <c r="M125" s="11" t="n">
        <v>49</v>
      </c>
      <c r="N125" s="11" t="n">
        <v>39</v>
      </c>
      <c r="O125" s="11" t="n">
        <v>22</v>
      </c>
      <c r="P125" s="11" t="n">
        <v>50</v>
      </c>
      <c r="Q125" s="11" t="n">
        <v>50</v>
      </c>
      <c r="R125" s="12" t="inlineStr">
        <is>
          <t>MANTENER CEG | Score: 43/100 | Precio: $289.06 → Target: $406.46 (Upside: +41%) | DEBILIDADES: alta volatilidad (beta 1.15, vol 56.8%)</t>
        </is>
      </c>
    </row>
    <row r="126">
      <c r="A126" s="5" t="inlineStr">
        <is>
          <t>IBN</t>
        </is>
      </c>
      <c r="B126" s="6" t="inlineStr">
        <is>
          <t>ICICI Bank Limited</t>
        </is>
      </c>
      <c r="C126" s="6" t="inlineStr">
        <is>
          <t>India</t>
        </is>
      </c>
      <c r="D126" s="7" t="n">
        <v>29.15</v>
      </c>
      <c r="E126" s="11">
        <f>ROUND(L126*0.105+M126*0.158+N126*0.421+O126*0.053+P126*0.137+Q126*0.126,1)</f>
        <v/>
      </c>
      <c r="F126" s="9" t="inlineStr">
        <is>
          <t>HOLD</t>
        </is>
      </c>
      <c r="G126" s="6" t="n">
        <v>16.4</v>
      </c>
      <c r="H126" s="6" t="inlineStr">
        <is>
          <t>-</t>
        </is>
      </c>
      <c r="I126" s="13" t="n">
        <v>360582086656</v>
      </c>
      <c r="J126" s="10" t="inlineStr">
        <is>
          <t>1680</t>
        </is>
      </c>
      <c r="K126" s="6" t="inlineStr">
        <is>
          <t>-</t>
        </is>
      </c>
      <c r="L126" s="11" t="n">
        <v>56</v>
      </c>
      <c r="M126" s="11" t="n">
        <v>43</v>
      </c>
      <c r="N126" s="11" t="n">
        <v>30</v>
      </c>
      <c r="O126" s="11" t="n">
        <v>94</v>
      </c>
      <c r="P126" s="11" t="n">
        <v>50</v>
      </c>
      <c r="Q126" s="11" t="n">
        <v>50</v>
      </c>
      <c r="R126" s="12" t="inlineStr">
        <is>
          <t>MANTENER IBN | Score: 43/100 | Precio: $29.15 → Target: $39.12 (Upside: +34%) | FORTALEZAS: baja volatilidad (beta 0.20, vol 19.1%) | DEBILIDADES: momentum débil (retorno 12M: 5.1%)</t>
        </is>
      </c>
    </row>
    <row r="127">
      <c r="A127" s="5" t="inlineStr">
        <is>
          <t>SIE.DE</t>
        </is>
      </c>
      <c r="B127" s="6" t="inlineStr">
        <is>
          <t xml:space="preserve">SIEMENS AG               </t>
        </is>
      </c>
      <c r="C127" s="6" t="inlineStr">
        <is>
          <t>Europa Industriales</t>
        </is>
      </c>
      <c r="D127" s="7" t="n">
        <v>254.4</v>
      </c>
      <c r="E127" s="11">
        <f>ROUND(L127*0.105+M127*0.158+N127*0.421+O127*0.053+P127*0.137+Q127*0.126,1)</f>
        <v/>
      </c>
      <c r="F127" s="9" t="inlineStr">
        <is>
          <t>HOLD</t>
        </is>
      </c>
      <c r="G127" s="6" t="n">
        <v>19.8</v>
      </c>
      <c r="H127" s="13" t="n">
        <v>21.4</v>
      </c>
      <c r="I127" s="6" t="n">
        <v>3.5</v>
      </c>
      <c r="J127" s="10" t="inlineStr">
        <is>
          <t>1340</t>
        </is>
      </c>
      <c r="K127" s="10" t="inlineStr">
        <is>
          <t>340.0</t>
        </is>
      </c>
      <c r="L127" s="11" t="n">
        <v>46</v>
      </c>
      <c r="M127" s="11" t="n">
        <v>26</v>
      </c>
      <c r="N127" s="11" t="n">
        <v>45</v>
      </c>
      <c r="O127" s="11" t="n">
        <v>41</v>
      </c>
      <c r="P127" s="11" t="n">
        <v>50</v>
      </c>
      <c r="Q127" s="11" t="n">
        <v>50</v>
      </c>
      <c r="R127" s="12" t="inlineStr">
        <is>
          <t>MANTENER SIE.DE | Score: 43/100 | Precio: $254.40 → Target: $259.96 (Upside: +2%) | DEBILIDADES: baja calidad operativa (ROE bajo, márgenes débiles)</t>
        </is>
      </c>
    </row>
    <row r="128">
      <c r="A128" s="5" t="inlineStr">
        <is>
          <t>MELI</t>
        </is>
      </c>
      <c r="B128" s="6" t="inlineStr">
        <is>
          <t>MercadoLibre, Inc.</t>
        </is>
      </c>
      <c r="C128" s="6" t="inlineStr">
        <is>
          <t>Latam</t>
        </is>
      </c>
      <c r="D128" s="7" t="n">
        <v>2137.29</v>
      </c>
      <c r="E128" s="11">
        <f>ROUND(L128*0.105+M128*0.158+N128*0.421+O128*0.053+P128*0.137+Q128*0.126,1)</f>
        <v/>
      </c>
      <c r="F128" s="9" t="inlineStr">
        <is>
          <t>HOLD</t>
        </is>
      </c>
      <c r="G128" s="13" t="n">
        <v>35.9</v>
      </c>
      <c r="H128" s="13" t="n">
        <v>29.5</v>
      </c>
      <c r="I128" s="10" t="n">
        <v>1.5</v>
      </c>
      <c r="J128" s="10" t="inlineStr">
        <is>
          <t>4060</t>
        </is>
      </c>
      <c r="K128" s="13" t="inlineStr">
        <is>
          <t>-380.0</t>
        </is>
      </c>
      <c r="L128" s="11" t="n">
        <v>14</v>
      </c>
      <c r="M128" s="11" t="n">
        <v>50</v>
      </c>
      <c r="N128" s="11" t="n">
        <v>45</v>
      </c>
      <c r="O128" s="11" t="n">
        <v>28</v>
      </c>
      <c r="P128" s="11" t="n">
        <v>50</v>
      </c>
      <c r="Q128" s="11" t="n">
        <v>50</v>
      </c>
      <c r="R128" s="12" t="inlineStr">
        <is>
          <t>MANTENER MELI | Score: 43/100 | Precio: $2137.29 → Target: $2817.00 (Upside: +32%) | DEBILIDADES: valoración cara (P/E 35.9x, EV/EBITDA 29.5x); alta volatilidad (beta 1.42, vol 38.3%)</t>
        </is>
      </c>
    </row>
    <row r="129">
      <c r="A129" s="5" t="inlineStr">
        <is>
          <t>PKX</t>
        </is>
      </c>
      <c r="B129" s="6" t="inlineStr">
        <is>
          <t>POSCO Holdings Inc.</t>
        </is>
      </c>
      <c r="C129" s="6" t="inlineStr">
        <is>
          <t>Korea</t>
        </is>
      </c>
      <c r="D129" s="7" t="n">
        <v>63.41</v>
      </c>
      <c r="E129" s="11">
        <f>ROUND(L129*0.105+M129*0.158+N129*0.421+O129*0.053+P129*0.137+Q129*0.126,1)</f>
        <v/>
      </c>
      <c r="F129" s="9" t="inlineStr">
        <is>
          <t>HOLD</t>
        </is>
      </c>
      <c r="G129" s="10" t="n">
        <v>12.6</v>
      </c>
      <c r="H129" s="10" t="n">
        <v>3.3</v>
      </c>
      <c r="I129" s="6" t="n">
        <v>2.2</v>
      </c>
      <c r="J129" s="10" t="inlineStr">
        <is>
          <t>20</t>
        </is>
      </c>
      <c r="K129" s="13" t="inlineStr">
        <is>
          <t>-1100080.0</t>
        </is>
      </c>
      <c r="L129" s="11" t="n">
        <v>52</v>
      </c>
      <c r="M129" s="11" t="n">
        <v>16</v>
      </c>
      <c r="N129" s="11" t="n">
        <v>49</v>
      </c>
      <c r="O129" s="11" t="n">
        <v>22</v>
      </c>
      <c r="P129" s="11" t="n">
        <v>50</v>
      </c>
      <c r="Q129" s="11" t="n">
        <v>50</v>
      </c>
      <c r="R129" s="12" t="inlineStr">
        <is>
          <t>MANTENER PKX | Score: 43/100 | Precio: $63.41 → Target: $69.46 (Upside: +10%) | DEBILIDADES: baja calidad operativa (ROE bajo, márgenes débiles); alta volatilidad (beta 1.45, vol 42.4%)</t>
        </is>
      </c>
    </row>
    <row r="130">
      <c r="A130" s="5" t="inlineStr">
        <is>
          <t>LPL</t>
        </is>
      </c>
      <c r="B130" s="6" t="inlineStr">
        <is>
          <t>LG Display Co, Ltd AMERIC</t>
        </is>
      </c>
      <c r="C130" s="6" t="inlineStr">
        <is>
          <t>Korea</t>
        </is>
      </c>
      <c r="D130" s="7" t="n">
        <v>4.43</v>
      </c>
      <c r="E130" s="11">
        <f>ROUND(L130*0.105+M130*0.158+N130*0.421+O130*0.053+P130*0.137+Q130*0.126,1)</f>
        <v/>
      </c>
      <c r="F130" s="9" t="inlineStr">
        <is>
          <t>HOLD</t>
        </is>
      </c>
      <c r="G130" s="13" t="n">
        <v>51.5</v>
      </c>
      <c r="H130" s="10" t="n">
        <v>3.1</v>
      </c>
      <c r="I130" s="6" t="n">
        <v>2.8</v>
      </c>
      <c r="J130" s="13" t="inlineStr">
        <is>
          <t>-230</t>
        </is>
      </c>
      <c r="K130" s="10" t="inlineStr">
        <is>
          <t>2941760.0</t>
        </is>
      </c>
      <c r="L130" s="11" t="n">
        <v>63</v>
      </c>
      <c r="M130" s="11" t="n">
        <v>15</v>
      </c>
      <c r="N130" s="11" t="n">
        <v>45</v>
      </c>
      <c r="O130" s="11" t="n">
        <v>33</v>
      </c>
      <c r="P130" s="11" t="n">
        <v>50</v>
      </c>
      <c r="Q130" s="11" t="n">
        <v>50</v>
      </c>
      <c r="R130" s="12" t="inlineStr">
        <is>
          <t>MANTENER LPL | Score: 43/100 | Precio: $4.43 → Target: $5.36 (Upside: +21%) | DEBILIDADES: baja calidad operativa (ROE bajo, márgenes débiles); alta volatilidad (beta 1.09, vol 41.6%)</t>
        </is>
      </c>
    </row>
    <row r="131">
      <c r="A131" s="5" t="inlineStr">
        <is>
          <t>AVGO</t>
        </is>
      </c>
      <c r="B131" s="6" t="inlineStr">
        <is>
          <t>Broadcom Inc.</t>
        </is>
      </c>
      <c r="C131" s="6" t="inlineStr">
        <is>
          <t>Semiconductores</t>
        </is>
      </c>
      <c r="D131" s="7" t="n">
        <v>320.05</v>
      </c>
      <c r="E131" s="11">
        <f>ROUND(L131*0.105+M131*0.158+N131*0.421+O131*0.053+P131*0.137+Q131*0.126,1)</f>
        <v/>
      </c>
      <c r="F131" s="9" t="inlineStr">
        <is>
          <t>HOLD</t>
        </is>
      </c>
      <c r="G131" s="6" t="n">
        <v>22.5</v>
      </c>
      <c r="H131" s="10" t="n">
        <v>4.6</v>
      </c>
      <c r="I131" s="10" t="n">
        <v>0.8</v>
      </c>
      <c r="J131" s="10" t="inlineStr">
        <is>
          <t>3100</t>
        </is>
      </c>
      <c r="K131" s="10" t="inlineStr">
        <is>
          <t>170.0</t>
        </is>
      </c>
      <c r="L131" s="11" t="n">
        <v>52</v>
      </c>
      <c r="M131" s="11" t="n">
        <v>65</v>
      </c>
      <c r="N131" s="11" t="n">
        <v>30</v>
      </c>
      <c r="O131" s="11" t="n">
        <v>20</v>
      </c>
      <c r="P131" s="11" t="n">
        <v>50</v>
      </c>
      <c r="Q131" s="11" t="n">
        <v>50</v>
      </c>
      <c r="R131" s="12" t="inlineStr">
        <is>
          <t>MANTENER AVGO | Score: 43/100 | Precio: $320.05 → Target: $456.12 (Upside: +43%) | DEBILIDADES: momentum débil (retorno 12M: 32.0%); alta volatilidad (beta 1.22, vol 53.6%)</t>
        </is>
      </c>
    </row>
    <row r="132">
      <c r="A132" s="5" t="inlineStr">
        <is>
          <t>ENPH</t>
        </is>
      </c>
      <c r="B132" s="6" t="inlineStr">
        <is>
          <t>Enphase Energy, Inc.</t>
        </is>
      </c>
      <c r="C132" s="6" t="inlineStr">
        <is>
          <t>Energia Renovables</t>
        </is>
      </c>
      <c r="D132" s="7" t="n">
        <v>39.46</v>
      </c>
      <c r="E132" s="11">
        <f>ROUND(L132*0.105+M132*0.158+N132*0.421+O132*0.053+P132*0.137+Q132*0.126,1)</f>
        <v/>
      </c>
      <c r="F132" s="9" t="inlineStr">
        <is>
          <t>HOLD</t>
        </is>
      </c>
      <c r="G132" s="6" t="n">
        <v>18.7</v>
      </c>
      <c r="H132" s="6" t="n">
        <v>17.5</v>
      </c>
      <c r="I132" s="10" t="n">
        <v>-0.9</v>
      </c>
      <c r="J132" s="10" t="inlineStr">
        <is>
          <t>2030</t>
        </is>
      </c>
      <c r="K132" s="10" t="inlineStr">
        <is>
          <t>270.0</t>
        </is>
      </c>
      <c r="L132" s="11" t="n">
        <v>49</v>
      </c>
      <c r="M132" s="11" t="n">
        <v>62</v>
      </c>
      <c r="N132" s="11" t="n">
        <v>33</v>
      </c>
      <c r="O132" s="11" t="n">
        <v>12</v>
      </c>
      <c r="P132" s="11" t="n">
        <v>50</v>
      </c>
      <c r="Q132" s="11" t="n">
        <v>50</v>
      </c>
      <c r="R132" s="12" t="inlineStr">
        <is>
          <t>MANTENER ENPH | Score: 43/100 | Precio: $39.46 → Target: $39.59 (Upside: +0%) | DEBILIDADES: momentum débil (retorno 12M: -37.7%); alta volatilidad (beta 1.35, vol 71.3%)</t>
        </is>
      </c>
    </row>
    <row r="133">
      <c r="A133" s="5" t="inlineStr">
        <is>
          <t>IBM</t>
        </is>
      </c>
      <c r="B133" s="6" t="inlineStr">
        <is>
          <t>International Business Ma</t>
        </is>
      </c>
      <c r="C133" s="6" t="inlineStr">
        <is>
          <t>IA Software</t>
        </is>
      </c>
      <c r="D133" s="7" t="n">
        <v>292.44</v>
      </c>
      <c r="E133" s="11">
        <f>ROUND(L133*0.105+M133*0.158+N133*0.421+O133*0.053+P133*0.137+Q133*0.126,1)</f>
        <v/>
      </c>
      <c r="F133" s="9" t="inlineStr">
        <is>
          <t>HOLD</t>
        </is>
      </c>
      <c r="G133" s="6" t="n">
        <v>23.9</v>
      </c>
      <c r="H133" s="13" t="n">
        <v>21.6</v>
      </c>
      <c r="I133" s="6" t="n">
        <v>3.4</v>
      </c>
      <c r="J133" s="10" t="inlineStr">
        <is>
          <t>3020</t>
        </is>
      </c>
      <c r="K133" s="10" t="inlineStr">
        <is>
          <t>430.0</t>
        </is>
      </c>
      <c r="L133" s="11" t="n">
        <v>44</v>
      </c>
      <c r="M133" s="11" t="n">
        <v>47</v>
      </c>
      <c r="N133" s="11" t="n">
        <v>34</v>
      </c>
      <c r="O133" s="11" t="n">
        <v>58</v>
      </c>
      <c r="P133" s="11" t="n">
        <v>50</v>
      </c>
      <c r="Q133" s="11" t="n">
        <v>50</v>
      </c>
      <c r="R133" s="12" t="inlineStr">
        <is>
          <t>MANTENER IBM | Score: 43/100 | Precio: $292.44 → Target: $305.16 (Upside: +4%) | DEBILIDADES: momentum débil (retorno 12M: 33.5%)</t>
        </is>
      </c>
    </row>
    <row r="134">
      <c r="A134" s="5" t="inlineStr">
        <is>
          <t>WIT</t>
        </is>
      </c>
      <c r="B134" s="6" t="inlineStr">
        <is>
          <t>Wipro Limited</t>
        </is>
      </c>
      <c r="C134" s="6" t="inlineStr">
        <is>
          <t>India</t>
        </is>
      </c>
      <c r="D134" s="7" t="n">
        <v>2.58</v>
      </c>
      <c r="E134" s="11">
        <f>ROUND(L134*0.105+M134*0.158+N134*0.421+O134*0.053+P134*0.137+Q134*0.126,1)</f>
        <v/>
      </c>
      <c r="F134" s="9" t="inlineStr">
        <is>
          <t>HOLD</t>
        </is>
      </c>
      <c r="G134" s="6" t="n">
        <v>17.7</v>
      </c>
      <c r="H134" s="10" t="n">
        <v>-2.1</v>
      </c>
      <c r="I134" s="10" t="n">
        <v>-2.2</v>
      </c>
      <c r="J134" s="10" t="inlineStr">
        <is>
          <t>1520</t>
        </is>
      </c>
      <c r="K134" s="10" t="inlineStr">
        <is>
          <t>40590.0</t>
        </is>
      </c>
      <c r="L134" s="11" t="n">
        <v>83</v>
      </c>
      <c r="M134" s="11" t="n">
        <v>57</v>
      </c>
      <c r="N134" s="11" t="n">
        <v>19</v>
      </c>
      <c r="O134" s="11" t="n">
        <v>71</v>
      </c>
      <c r="P134" s="11" t="n">
        <v>50</v>
      </c>
      <c r="Q134" s="11" t="n">
        <v>50</v>
      </c>
      <c r="R134" s="12" t="inlineStr">
        <is>
          <t>MANTENER WIT | Score: 43/100 | Precio: $2.58 → Target: $2.62 (Upside: +2%) | FORTALEZAS: valoración atractiva (P/E 17.7x, EV/EBITDA -2.1x); baja volatilidad (beta 0.56, vol 26.9%) | DEBILIDADES: momentum débil (retorno 12M: -28.8%)</t>
        </is>
      </c>
    </row>
    <row r="135">
      <c r="A135" s="5" t="inlineStr">
        <is>
          <t>NTES</t>
        </is>
      </c>
      <c r="B135" s="6" t="inlineStr">
        <is>
          <t>NetEase, Inc.</t>
        </is>
      </c>
      <c r="C135" s="6" t="inlineStr">
        <is>
          <t>China Tech</t>
        </is>
      </c>
      <c r="D135" s="7" t="n">
        <v>132.24</v>
      </c>
      <c r="E135" s="11">
        <f>ROUND(L135*0.105+M135*0.158+N135*0.421+O135*0.053+P135*0.137+Q135*0.126,1)</f>
        <v/>
      </c>
      <c r="F135" s="9" t="inlineStr">
        <is>
          <t>HOLD</t>
        </is>
      </c>
      <c r="G135" s="10" t="n">
        <v>14.1</v>
      </c>
      <c r="H135" s="10" t="n">
        <v>7.6</v>
      </c>
      <c r="I135" s="10" t="n">
        <v>-3.8</v>
      </c>
      <c r="J135" s="10" t="inlineStr">
        <is>
          <t>2520</t>
        </is>
      </c>
      <c r="K135" s="10" t="inlineStr">
        <is>
          <t>3250.0</t>
        </is>
      </c>
      <c r="L135" s="11" t="n">
        <v>78</v>
      </c>
      <c r="M135" s="11" t="n">
        <v>74</v>
      </c>
      <c r="N135" s="11" t="n">
        <v>40</v>
      </c>
      <c r="O135" s="11" t="n">
        <v>48</v>
      </c>
      <c r="P135" s="11" t="n">
        <v>50</v>
      </c>
      <c r="Q135" s="11" t="n">
        <v>50</v>
      </c>
      <c r="R135" s="12" t="inlineStr">
        <is>
          <t>MANTENER NTES | Score: 42/100 | Precio: $132.24 → Target: $168.49 (Upside: +27%) | FORTALEZAS: valoración atractiva (P/E 14.1x, EV/EBITDA 7.6x); alta calidad (ROE 25.2%, margen 28.3%) | ESTRATEGIA: Largo plazo (value-quality) - empresa dominante a buen precio</t>
        </is>
      </c>
    </row>
    <row r="136">
      <c r="A136" s="5" t="inlineStr">
        <is>
          <t>V</t>
        </is>
      </c>
      <c r="B136" s="6" t="inlineStr">
        <is>
          <t>Visa Inc.</t>
        </is>
      </c>
      <c r="C136" s="6" t="inlineStr">
        <is>
          <t>Fintech</t>
        </is>
      </c>
      <c r="D136" s="7" t="n">
        <v>326.18</v>
      </c>
      <c r="E136" s="11">
        <f>ROUND(L136*0.105+M136*0.158+N136*0.421+O136*0.053+P136*0.137+Q136*0.126,1)</f>
        <v/>
      </c>
      <c r="F136" s="9" t="inlineStr">
        <is>
          <t>HOLD</t>
        </is>
      </c>
      <c r="G136" s="6" t="n">
        <v>22.6</v>
      </c>
      <c r="H136" s="13" t="n">
        <v>22.6</v>
      </c>
      <c r="I136" s="10" t="n">
        <v>0.2</v>
      </c>
      <c r="J136" s="10" t="inlineStr">
        <is>
          <t>5210</t>
        </is>
      </c>
      <c r="K136" s="10" t="inlineStr">
        <is>
          <t>320.0</t>
        </is>
      </c>
      <c r="L136" s="11" t="n">
        <v>40</v>
      </c>
      <c r="M136" s="11" t="n">
        <v>84</v>
      </c>
      <c r="N136" s="11" t="n">
        <v>19</v>
      </c>
      <c r="O136" s="11" t="n">
        <v>72</v>
      </c>
      <c r="P136" s="11" t="n">
        <v>50</v>
      </c>
      <c r="Q136" s="11" t="n">
        <v>50</v>
      </c>
      <c r="R136" s="12" t="inlineStr">
        <is>
          <t>MANTENER V | Score: 42/100 | Precio: $326.18 → Target: $398.50 (Upside: +22%) | FORTALEZAS: alta calidad (ROE 52.1%, margen 65.8%); baja volatilidad (beta 0.81, vol 23.0%) | DEBILIDADES: momentum débil (retorno 12M: -0.5%)</t>
        </is>
      </c>
    </row>
    <row r="137">
      <c r="A137" s="5" t="inlineStr">
        <is>
          <t>SONY</t>
        </is>
      </c>
      <c r="B137" s="6" t="inlineStr">
        <is>
          <t>Sony Group Corporation</t>
        </is>
      </c>
      <c r="C137" s="6" t="inlineStr">
        <is>
          <t>Japan</t>
        </is>
      </c>
      <c r="D137" s="7" t="n">
        <v>23.09</v>
      </c>
      <c r="E137" s="11">
        <f>ROUND(L137*0.105+M137*0.158+N137*0.421+O137*0.053+P137*0.137+Q137*0.126,1)</f>
        <v/>
      </c>
      <c r="F137" s="9" t="inlineStr">
        <is>
          <t>HOLD</t>
        </is>
      </c>
      <c r="G137" s="6" t="n">
        <v>19.4</v>
      </c>
      <c r="H137" s="10" t="n">
        <v>0.3</v>
      </c>
      <c r="I137" s="10" t="n">
        <v>0.1</v>
      </c>
      <c r="J137" s="10" t="inlineStr">
        <is>
          <t>1540</t>
        </is>
      </c>
      <c r="K137" s="13" t="inlineStr">
        <is>
          <t>-35470.0</t>
        </is>
      </c>
      <c r="L137" s="11" t="n">
        <v>48</v>
      </c>
      <c r="M137" s="11" t="n">
        <v>51</v>
      </c>
      <c r="N137" s="11" t="n">
        <v>31</v>
      </c>
      <c r="O137" s="11" t="n">
        <v>60</v>
      </c>
      <c r="P137" s="11" t="n">
        <v>50</v>
      </c>
      <c r="Q137" s="11" t="n">
        <v>50</v>
      </c>
      <c r="R137" s="12" t="inlineStr">
        <is>
          <t>MANTENER SONY | Score: 42/100 | Precio: $23.09 → Target: $32.46 (Upside: +41%) | DEBILIDADES: momentum débil (retorno 12M: 11.2%)</t>
        </is>
      </c>
    </row>
    <row r="138">
      <c r="A138" s="5" t="inlineStr">
        <is>
          <t>RELX</t>
        </is>
      </c>
      <c r="B138" s="6" t="inlineStr">
        <is>
          <t>RELX PLC PLC</t>
        </is>
      </c>
      <c r="C138" s="6" t="inlineStr">
        <is>
          <t>Europa Industriales</t>
        </is>
      </c>
      <c r="D138" s="7" t="n">
        <v>39.9</v>
      </c>
      <c r="E138" s="11">
        <f>ROUND(L138*0.105+M138*0.158+N138*0.421+O138*0.053+P138*0.137+Q138*0.126,1)</f>
        <v/>
      </c>
      <c r="F138" s="9" t="inlineStr">
        <is>
          <t>HOLD</t>
        </is>
      </c>
      <c r="G138" s="6" t="n">
        <v>20.9</v>
      </c>
      <c r="H138" s="13" t="n">
        <v>26</v>
      </c>
      <c r="I138" s="6" t="n">
        <v>2.4</v>
      </c>
      <c r="J138" s="10" t="inlineStr">
        <is>
          <t>7200</t>
        </is>
      </c>
      <c r="K138" s="10" t="inlineStr">
        <is>
          <t>270.0</t>
        </is>
      </c>
      <c r="L138" s="11" t="n">
        <v>38</v>
      </c>
      <c r="M138" s="11" t="n">
        <v>62</v>
      </c>
      <c r="N138" s="11" t="n">
        <v>25</v>
      </c>
      <c r="O138" s="11" t="n">
        <v>89</v>
      </c>
      <c r="P138" s="11" t="n">
        <v>50</v>
      </c>
      <c r="Q138" s="11" t="n">
        <v>50</v>
      </c>
      <c r="R138" s="12" t="inlineStr">
        <is>
          <t>MANTENER RELX | Score: 42/100 | Precio: $39.90 → Target: $53.95 (Upside: +35%) | FORTALEZAS: baja volatilidad (beta 0.28, vol 23.0%) | DEBILIDADES: momentum débil (retorno 12M: -17.0%)</t>
        </is>
      </c>
    </row>
    <row r="139">
      <c r="A139" s="5" t="inlineStr">
        <is>
          <t>MA</t>
        </is>
      </c>
      <c r="B139" s="6" t="inlineStr">
        <is>
          <t>Mastercard Incorporated</t>
        </is>
      </c>
      <c r="C139" s="6" t="inlineStr">
        <is>
          <t>Fintech</t>
        </is>
      </c>
      <c r="D139" s="7" t="n">
        <v>524.74</v>
      </c>
      <c r="E139" s="11">
        <f>ROUND(L139*0.105+M139*0.158+N139*0.421+O139*0.053+P139*0.137+Q139*0.126,1)</f>
        <v/>
      </c>
      <c r="F139" s="9" t="inlineStr">
        <is>
          <t>HOLD</t>
        </is>
      </c>
      <c r="G139" s="6" t="n">
        <v>27.5</v>
      </c>
      <c r="H139" s="13" t="n">
        <v>24.5</v>
      </c>
      <c r="I139" s="10" t="n">
        <v>0.4</v>
      </c>
      <c r="J139" s="10" t="inlineStr">
        <is>
          <t>18490</t>
        </is>
      </c>
      <c r="K139" s="10" t="inlineStr">
        <is>
          <t>340.0</t>
        </is>
      </c>
      <c r="L139" s="11" t="n">
        <v>36</v>
      </c>
      <c r="M139" s="11" t="n">
        <v>85</v>
      </c>
      <c r="N139" s="11" t="n">
        <v>19</v>
      </c>
      <c r="O139" s="11" t="n">
        <v>71</v>
      </c>
      <c r="P139" s="11" t="n">
        <v>50</v>
      </c>
      <c r="Q139" s="11" t="n">
        <v>50</v>
      </c>
      <c r="R139" s="12" t="inlineStr">
        <is>
          <t>MANTENER MA | Score: 42/100 | Precio: $524.74 → Target: $665.09 (Upside: +27%) | FORTALEZAS: alta calidad (ROE 184.9%, margen 59.8%); baja volatilidad (beta 0.86, vol 23.0%) | DEBILIDADES: momentum débil (retorno 12M: -1.1%)</t>
        </is>
      </c>
    </row>
    <row r="140">
      <c r="A140" s="5" t="inlineStr">
        <is>
          <t>SAP</t>
        </is>
      </c>
      <c r="B140" s="6" t="inlineStr">
        <is>
          <t>SAP  SE</t>
        </is>
      </c>
      <c r="C140" s="6" t="inlineStr">
        <is>
          <t>Europa Tech</t>
        </is>
      </c>
      <c r="D140" s="7" t="n">
        <v>231.07</v>
      </c>
      <c r="E140" s="11">
        <f>ROUND(L140*0.105+M140*0.158+N140*0.421+O140*0.053+P140*0.137+Q140*0.126,1)</f>
        <v/>
      </c>
      <c r="F140" s="9" t="inlineStr">
        <is>
          <t>HOLD</t>
        </is>
      </c>
      <c r="G140" s="6" t="n">
        <v>27.3</v>
      </c>
      <c r="H140" s="13" t="n">
        <v>24.8</v>
      </c>
      <c r="I140" s="10" t="n">
        <v>-0.1</v>
      </c>
      <c r="J140" s="10" t="inlineStr">
        <is>
          <t>1700</t>
        </is>
      </c>
      <c r="K140" s="10" t="inlineStr">
        <is>
          <t>260.0</t>
        </is>
      </c>
      <c r="L140" s="11" t="n">
        <v>32</v>
      </c>
      <c r="M140" s="11" t="n">
        <v>62</v>
      </c>
      <c r="N140" s="11" t="n">
        <v>29</v>
      </c>
      <c r="O140" s="11" t="n">
        <v>64</v>
      </c>
      <c r="P140" s="11" t="n">
        <v>50</v>
      </c>
      <c r="Q140" s="11" t="n">
        <v>50</v>
      </c>
      <c r="R140" s="12" t="inlineStr">
        <is>
          <t>MANTENER SAP | Score: 42/100 | Precio: $231.07 → Target: $336.00 (Upside: +45%) | DEBILIDADES: valoración cara (P/E 27.3x, EV/EBITDA 24.8x); momentum débil (retorno 12M: -15.6%)</t>
        </is>
      </c>
    </row>
    <row r="141">
      <c r="A141" s="5" t="inlineStr">
        <is>
          <t>HMC</t>
        </is>
      </c>
      <c r="B141" s="6" t="inlineStr">
        <is>
          <t>Honda Motor Company, Ltd.</t>
        </is>
      </c>
      <c r="C141" s="6" t="inlineStr">
        <is>
          <t>Japan</t>
        </is>
      </c>
      <c r="D141" s="7" t="n">
        <v>30.42</v>
      </c>
      <c r="E141" s="11">
        <f>ROUND(L141*0.105+M141*0.158+N141*0.421+O141*0.053+P141*0.137+Q141*0.126,1)</f>
        <v/>
      </c>
      <c r="F141" s="9" t="inlineStr">
        <is>
          <t>HOLD</t>
        </is>
      </c>
      <c r="G141" s="10" t="n">
        <v>6.1</v>
      </c>
      <c r="H141" s="10" t="n">
        <v>6.1</v>
      </c>
      <c r="I141" s="13" t="n">
        <v>5.8</v>
      </c>
      <c r="J141" s="10" t="inlineStr">
        <is>
          <t>580</t>
        </is>
      </c>
      <c r="K141" s="10" t="inlineStr">
        <is>
          <t>11820.0</t>
        </is>
      </c>
      <c r="L141" s="11" t="n">
        <v>88</v>
      </c>
      <c r="M141" s="11" t="n">
        <v>14</v>
      </c>
      <c r="N141" s="11" t="n">
        <v>31</v>
      </c>
      <c r="O141" s="11" t="n">
        <v>78</v>
      </c>
      <c r="P141" s="11" t="n">
        <v>50</v>
      </c>
      <c r="Q141" s="11" t="n">
        <v>50</v>
      </c>
      <c r="R141" s="12" t="inlineStr">
        <is>
          <t>MANTENER HMC | Score: 42/100 | Precio: $30.42 → Target: $36.39 (Upside: +20%) | FORTALEZAS: valoración atractiva (P/E 6.1x, EV/EBITDA 6.1x); baja volatilidad (beta 0.10, vol 30.7%) | DEBILIDADES: baja calidad operativa (ROE bajo, márgenes débiles); momentum débil (retorno 12M: 8.8%)</t>
        </is>
      </c>
    </row>
    <row r="142">
      <c r="A142" s="5" t="inlineStr">
        <is>
          <t>AAPL</t>
        </is>
      </c>
      <c r="B142" s="6" t="inlineStr">
        <is>
          <t>Apple Inc.</t>
        </is>
      </c>
      <c r="C142" s="6" t="inlineStr">
        <is>
          <t>Big Tech</t>
        </is>
      </c>
      <c r="D142" s="7" t="n">
        <v>248.04</v>
      </c>
      <c r="E142" s="11">
        <f>ROUND(L142*0.105+M142*0.158+N142*0.421+O142*0.053+P142*0.137+Q142*0.126,1)</f>
        <v/>
      </c>
      <c r="F142" s="9" t="inlineStr">
        <is>
          <t>HOLD</t>
        </is>
      </c>
      <c r="G142" s="6" t="n">
        <v>27.1</v>
      </c>
      <c r="H142" s="13" t="n">
        <v>25.7</v>
      </c>
      <c r="I142" s="10" t="n">
        <v>0.4</v>
      </c>
      <c r="J142" s="10" t="inlineStr">
        <is>
          <t>17140</t>
        </is>
      </c>
      <c r="K142" s="10" t="inlineStr">
        <is>
          <t>220.0</t>
        </is>
      </c>
      <c r="L142" s="11" t="n">
        <v>30</v>
      </c>
      <c r="M142" s="11" t="n">
        <v>75</v>
      </c>
      <c r="N142" s="11" t="n">
        <v>26</v>
      </c>
      <c r="O142" s="11" t="n">
        <v>44</v>
      </c>
      <c r="P142" s="11" t="n">
        <v>50</v>
      </c>
      <c r="Q142" s="11" t="n">
        <v>50</v>
      </c>
      <c r="R142" s="12" t="inlineStr">
        <is>
          <t>MANTENER AAPL | Score: 42/100 | Precio: $248.04 → Target: $287.22 (Upside: +16%) | FORTALEZAS: alta calidad (ROE 171.4%, margen 31.6%) | DEBILIDADES: valoración cara (P/E 27.1x, EV/EBITDA 25.7x); momentum débil (retorno 12M: 11.8%)</t>
        </is>
      </c>
    </row>
    <row r="143">
      <c r="A143" s="5" t="inlineStr">
        <is>
          <t>AMD</t>
        </is>
      </c>
      <c r="B143" s="6" t="inlineStr">
        <is>
          <t>Advanced Micro Devices, I</t>
        </is>
      </c>
      <c r="C143" s="6" t="inlineStr">
        <is>
          <t>Semiconductores</t>
        </is>
      </c>
      <c r="D143" s="7" t="n">
        <v>259.68</v>
      </c>
      <c r="E143" s="11">
        <f>ROUND(L143*0.105+M143*0.158+N143*0.421+O143*0.053+P143*0.137+Q143*0.126,1)</f>
        <v/>
      </c>
      <c r="F143" s="9" t="inlineStr">
        <is>
          <t>HOLD</t>
        </is>
      </c>
      <c r="G143" s="13" t="n">
        <v>39.5</v>
      </c>
      <c r="H143" s="13" t="n">
        <v>69.3</v>
      </c>
      <c r="I143" s="10" t="n">
        <v>-0.6</v>
      </c>
      <c r="J143" s="10" t="inlineStr">
        <is>
          <t>530</t>
        </is>
      </c>
      <c r="K143" s="10" t="inlineStr">
        <is>
          <t>80.0</t>
        </is>
      </c>
      <c r="L143" s="11" t="n">
        <v>14</v>
      </c>
      <c r="M143" s="11" t="n">
        <v>43</v>
      </c>
      <c r="N143" s="11" t="n">
        <v>46</v>
      </c>
      <c r="O143" s="11" t="n">
        <v>8</v>
      </c>
      <c r="P143" s="11" t="n">
        <v>50</v>
      </c>
      <c r="Q143" s="11" t="n">
        <v>50</v>
      </c>
      <c r="R143" s="12" t="inlineStr">
        <is>
          <t>MANTENER AMD | Score: 41/100 | Precio: $259.68 → Target: $286.59 (Upside: +10%) | DEBILIDADES: valoración cara (P/E 39.5x, EV/EBITDA 69.3x); alta volatilidad (beta 1.95, vol 61.1%)</t>
        </is>
      </c>
    </row>
    <row r="144">
      <c r="A144" s="5" t="inlineStr">
        <is>
          <t>RMS.PA</t>
        </is>
      </c>
      <c r="B144" s="6" t="inlineStr">
        <is>
          <t>HERMES INTL</t>
        </is>
      </c>
      <c r="C144" s="6" t="inlineStr">
        <is>
          <t>Lujo</t>
        </is>
      </c>
      <c r="D144" s="7" t="n">
        <v>2130</v>
      </c>
      <c r="E144" s="11">
        <f>ROUND(L144*0.105+M144*0.158+N144*0.421+O144*0.053+P144*0.137+Q144*0.126,1)</f>
        <v/>
      </c>
      <c r="F144" s="9" t="inlineStr">
        <is>
          <t>HOLD</t>
        </is>
      </c>
      <c r="G144" s="13" t="n">
        <v>45</v>
      </c>
      <c r="H144" s="13" t="n">
        <v>31.8</v>
      </c>
      <c r="I144" s="10" t="n">
        <v>-1.2</v>
      </c>
      <c r="J144" s="10" t="inlineStr">
        <is>
          <t>2850</t>
        </is>
      </c>
      <c r="K144" s="10" t="inlineStr">
        <is>
          <t>170.0</t>
        </is>
      </c>
      <c r="L144" s="11" t="n">
        <v>21</v>
      </c>
      <c r="M144" s="11" t="n">
        <v>82</v>
      </c>
      <c r="N144" s="11" t="n">
        <v>23</v>
      </c>
      <c r="O144" s="11" t="n">
        <v>61</v>
      </c>
      <c r="P144" s="11" t="n">
        <v>50</v>
      </c>
      <c r="Q144" s="11" t="n">
        <v>50</v>
      </c>
      <c r="R144" s="12" t="inlineStr">
        <is>
          <t>MANTENER RMS.PA | Score: 41/100 | Precio: $2130.00 → Target: $2367.50 (Upside: +11%) | FORTALEZAS: alta calidad (ROE 28.5%, margen 42.3%) | DEBILIDADES: valoración cara (P/E 45.0x, EV/EBITDA 31.8x); momentum débil (retorno 12M: -18.4%)</t>
        </is>
      </c>
    </row>
    <row r="145">
      <c r="A145" s="5" t="inlineStr">
        <is>
          <t>BIDU</t>
        </is>
      </c>
      <c r="B145" s="6" t="inlineStr">
        <is>
          <t>Baidu, Inc.</t>
        </is>
      </c>
      <c r="C145" s="6" t="inlineStr">
        <is>
          <t>China Tech</t>
        </is>
      </c>
      <c r="D145" s="7" t="n">
        <v>161.44</v>
      </c>
      <c r="E145" s="11">
        <f>ROUND(L145*0.105+M145*0.158+N145*0.421+O145*0.053+P145*0.137+Q145*0.126,1)</f>
        <v/>
      </c>
      <c r="F145" s="9" t="inlineStr">
        <is>
          <t>HOLD</t>
        </is>
      </c>
      <c r="G145" s="6" t="n">
        <v>19.6</v>
      </c>
      <c r="H145" s="6" t="n">
        <v>15</v>
      </c>
      <c r="I145" s="10" t="n">
        <v>-1</v>
      </c>
      <c r="J145" s="10" t="inlineStr">
        <is>
          <t>310</t>
        </is>
      </c>
      <c r="K145" s="10" t="inlineStr">
        <is>
          <t>3860.0</t>
        </is>
      </c>
      <c r="L145" s="11" t="n">
        <v>65</v>
      </c>
      <c r="M145" s="11" t="n">
        <v>36</v>
      </c>
      <c r="N145" s="11" t="n">
        <v>53</v>
      </c>
      <c r="O145" s="11" t="n">
        <v>53</v>
      </c>
      <c r="P145" s="11" t="n">
        <v>50</v>
      </c>
      <c r="Q145" s="11" t="n">
        <v>50</v>
      </c>
      <c r="R145" s="12" t="inlineStr">
        <is>
          <t>MANTENER BIDU | Score: 41/100 | Precio: $161.44 → Target: $171.55 (Upside: +6%)</t>
        </is>
      </c>
    </row>
    <row r="146">
      <c r="A146" s="5" t="inlineStr">
        <is>
          <t>SPOT</t>
        </is>
      </c>
      <c r="B146" s="6" t="inlineStr">
        <is>
          <t>Spotify Technology S.A.</t>
        </is>
      </c>
      <c r="C146" s="6" t="inlineStr">
        <is>
          <t>Europa Tech</t>
        </is>
      </c>
      <c r="D146" s="7" t="n">
        <v>513.21</v>
      </c>
      <c r="E146" s="11">
        <f>ROUND(L146*0.105+M146*0.158+N146*0.421+O146*0.053+P146*0.137+Q146*0.126,1)</f>
        <v/>
      </c>
      <c r="F146" s="9" t="inlineStr">
        <is>
          <t>HOLD</t>
        </is>
      </c>
      <c r="G146" s="13" t="n">
        <v>35.5</v>
      </c>
      <c r="H146" s="13" t="n">
        <v>49.3</v>
      </c>
      <c r="I146" s="10" t="n">
        <v>-2.6</v>
      </c>
      <c r="J146" s="10" t="inlineStr">
        <is>
          <t>2260</t>
        </is>
      </c>
      <c r="K146" s="10" t="inlineStr">
        <is>
          <t>70.0</t>
        </is>
      </c>
      <c r="L146" s="11" t="n">
        <v>16</v>
      </c>
      <c r="M146" s="11" t="n">
        <v>62</v>
      </c>
      <c r="N146" s="11" t="n">
        <v>35</v>
      </c>
      <c r="O146" s="11" t="n">
        <v>18</v>
      </c>
      <c r="P146" s="11" t="n">
        <v>50</v>
      </c>
      <c r="Q146" s="11" t="n">
        <v>50</v>
      </c>
      <c r="R146" s="12" t="inlineStr">
        <is>
          <t>MANTENER SPOT | Score: 40/100 | Precio: $513.21 → Target: $735.19 (Upside: +43%) | DEBILIDADES: valoración cara (P/E 35.5x, EV/EBITDA 49.3x); alta volatilidad (beta 1.66, vol 44.0%)</t>
        </is>
      </c>
    </row>
    <row r="147">
      <c r="A147" s="5" t="inlineStr">
        <is>
          <t>META</t>
        </is>
      </c>
      <c r="B147" s="6" t="inlineStr">
        <is>
          <t>Meta Platforms, Inc.</t>
        </is>
      </c>
      <c r="C147" s="6" t="inlineStr">
        <is>
          <t>Big Tech</t>
        </is>
      </c>
      <c r="D147" s="7" t="n">
        <v>658.76</v>
      </c>
      <c r="E147" s="16">
        <f>ROUND(L147*0.105+M147*0.158+N147*0.421+O147*0.053+P147*0.137+Q147*0.126,1)</f>
        <v/>
      </c>
      <c r="F147" s="16" t="inlineStr">
        <is>
          <t>REDUCE</t>
        </is>
      </c>
      <c r="G147" s="6" t="n">
        <v>21.9</v>
      </c>
      <c r="H147" s="6" t="n">
        <v>16.9</v>
      </c>
      <c r="I147" s="10" t="n">
        <v>0.1</v>
      </c>
      <c r="J147" s="10" t="inlineStr">
        <is>
          <t>3260</t>
        </is>
      </c>
      <c r="K147" s="10" t="inlineStr">
        <is>
          <t>110.0</t>
        </is>
      </c>
      <c r="L147" s="11" t="n">
        <v>39</v>
      </c>
      <c r="M147" s="11" t="n">
        <v>77</v>
      </c>
      <c r="N147" s="11" t="n">
        <v>21</v>
      </c>
      <c r="O147" s="11" t="n">
        <v>32</v>
      </c>
      <c r="P147" s="11" t="n">
        <v>50</v>
      </c>
      <c r="Q147" s="11" t="n">
        <v>50</v>
      </c>
      <c r="R147" s="12" t="inlineStr">
        <is>
          <t>REDUCIR META | Score: 40/100 | Precio: $658.76 → Target: $831.93 (Upside: +26%) | FORTALEZAS: alta calidad (ROE 32.6%, margen 40.1%) | DEBILIDADES: momentum débil (retorno 12M: 2.1%); alta volatilidad (beta 1.29, vol 38.1%)</t>
        </is>
      </c>
    </row>
    <row r="148">
      <c r="A148" s="5" t="inlineStr">
        <is>
          <t>INTC</t>
        </is>
      </c>
      <c r="B148" s="6" t="inlineStr">
        <is>
          <t>Intel Corporation</t>
        </is>
      </c>
      <c r="C148" s="6" t="inlineStr">
        <is>
          <t>Semiconductores</t>
        </is>
      </c>
      <c r="D148" s="7" t="n">
        <v>45.07</v>
      </c>
      <c r="E148" s="16">
        <f>ROUND(L148*0.105+M148*0.158+N148*0.421+O148*0.053+P148*0.137+Q148*0.126,1)</f>
        <v/>
      </c>
      <c r="F148" s="16" t="inlineStr">
        <is>
          <t>REDUCE</t>
        </is>
      </c>
      <c r="G148" s="13" t="n">
        <v>44.8</v>
      </c>
      <c r="H148" s="6" t="n">
        <v>19.5</v>
      </c>
      <c r="I148" s="10" t="n">
        <v>0.8</v>
      </c>
      <c r="J148" s="6" t="inlineStr">
        <is>
          <t>-</t>
        </is>
      </c>
      <c r="K148" s="13" t="inlineStr">
        <is>
          <t>-200.0</t>
        </is>
      </c>
      <c r="L148" s="11" t="n">
        <v>20</v>
      </c>
      <c r="M148" s="11" t="n">
        <v>24</v>
      </c>
      <c r="N148" s="11" t="n">
        <v>47</v>
      </c>
      <c r="O148" s="11" t="n">
        <v>13</v>
      </c>
      <c r="P148" s="11" t="n">
        <v>50</v>
      </c>
      <c r="Q148" s="11" t="n">
        <v>50</v>
      </c>
      <c r="R148" s="12" t="inlineStr">
        <is>
          <t>REDUCIR INTC | Score: 40/100 | Precio: $45.07 → Target: $46.09 (Upside: +2%) | DEBILIDADES: valoración cara (P/E 44.8x, EV/EBITDA 19.5x); baja calidad operativa (ROE bajo, márgenes débiles); alta volatilidad (beta 1.35, vol 68.4%)</t>
        </is>
      </c>
    </row>
    <row r="149">
      <c r="A149" s="5" t="inlineStr">
        <is>
          <t>IFNNY</t>
        </is>
      </c>
      <c r="B149" s="6" t="inlineStr">
        <is>
          <t>Infineon Technologies AG</t>
        </is>
      </c>
      <c r="C149" s="6" t="inlineStr">
        <is>
          <t>Semiconductores</t>
        </is>
      </c>
      <c r="D149" s="7" t="n">
        <v>49.94</v>
      </c>
      <c r="E149" s="16">
        <f>ROUND(L149*0.105+M149*0.158+N149*0.421+O149*0.053+P149*0.137+Q149*0.126,1)</f>
        <v/>
      </c>
      <c r="F149" s="16" t="inlineStr">
        <is>
          <t>REDUCE</t>
        </is>
      </c>
      <c r="G149" s="6" t="n">
        <v>19.7</v>
      </c>
      <c r="H149" s="6" t="n">
        <v>17.5</v>
      </c>
      <c r="I149" s="10" t="n">
        <v>1.3</v>
      </c>
      <c r="J149" s="10" t="inlineStr">
        <is>
          <t>590</t>
        </is>
      </c>
      <c r="K149" s="10" t="inlineStr">
        <is>
          <t>200.0</t>
        </is>
      </c>
      <c r="L149" s="11" t="n">
        <v>45</v>
      </c>
      <c r="M149" s="11" t="n">
        <v>38</v>
      </c>
      <c r="N149" s="11" t="n">
        <v>35</v>
      </c>
      <c r="O149" s="11" t="n">
        <v>18</v>
      </c>
      <c r="P149" s="11" t="n">
        <v>50</v>
      </c>
      <c r="Q149" s="11" t="n">
        <v>50</v>
      </c>
      <c r="R149" s="12" t="inlineStr">
        <is>
          <t>REDUCIR IFNNY | Score: 40/100 | Precio: $49.94 → Target: $50.67 (Upside: +1%) | DEBILIDADES: alta volatilidad (beta 1.66, vol 42.7%)</t>
        </is>
      </c>
    </row>
    <row r="150">
      <c r="A150" s="5" t="inlineStr">
        <is>
          <t>MDB</t>
        </is>
      </c>
      <c r="B150" s="6" t="inlineStr">
        <is>
          <t>MongoDB, Inc.</t>
        </is>
      </c>
      <c r="C150" s="6" t="inlineStr">
        <is>
          <t>IA Software</t>
        </is>
      </c>
      <c r="D150" s="7" t="n">
        <v>398.69</v>
      </c>
      <c r="E150" s="16">
        <f>ROUND(L150*0.105+M150*0.158+N150*0.421+O150*0.053+P150*0.137+Q150*0.126,1)</f>
        <v/>
      </c>
      <c r="F150" s="16" t="inlineStr">
        <is>
          <t>REDUCE</t>
        </is>
      </c>
      <c r="G150" s="13" t="n">
        <v>71.8</v>
      </c>
      <c r="H150" s="10" t="n">
        <v>-229.7</v>
      </c>
      <c r="I150" s="6" t="inlineStr">
        <is>
          <t>-</t>
        </is>
      </c>
      <c r="J150" s="13" t="inlineStr">
        <is>
          <t>-320</t>
        </is>
      </c>
      <c r="K150" s="10" t="inlineStr">
        <is>
          <t>110.0</t>
        </is>
      </c>
      <c r="L150" s="11" t="n">
        <v>44</v>
      </c>
      <c r="M150" s="11" t="n">
        <v>21</v>
      </c>
      <c r="N150" s="11" t="n">
        <v>42</v>
      </c>
      <c r="O150" s="11" t="n">
        <v>12</v>
      </c>
      <c r="P150" s="11" t="n">
        <v>50</v>
      </c>
      <c r="Q150" s="11" t="n">
        <v>50</v>
      </c>
      <c r="R150" s="12" t="inlineStr">
        <is>
          <t>REDUCIR MDB | Score: 39/100 | Precio: $398.69 → Target: $448.75 (Upside: +13%) | DEBILIDADES: baja calidad operativa (ROE bajo, márgenes débiles); alta volatilidad (beta 1.38, vol 70.8%)</t>
        </is>
      </c>
    </row>
    <row r="151">
      <c r="A151" s="5" t="inlineStr">
        <is>
          <t>RACE</t>
        </is>
      </c>
      <c r="B151" s="6" t="inlineStr">
        <is>
          <t>Ferrari N.V.</t>
        </is>
      </c>
      <c r="C151" s="6" t="inlineStr">
        <is>
          <t>Lujo</t>
        </is>
      </c>
      <c r="D151" s="7" t="n">
        <v>338.53</v>
      </c>
      <c r="E151" s="16">
        <f>ROUND(L151*0.105+M151*0.158+N151*0.421+O151*0.053+P151*0.137+Q151*0.126,1)</f>
        <v/>
      </c>
      <c r="F151" s="16" t="inlineStr">
        <is>
          <t>REDUCE</t>
        </is>
      </c>
      <c r="G151" s="6" t="n">
        <v>29.9</v>
      </c>
      <c r="H151" s="13" t="n">
        <v>26.2</v>
      </c>
      <c r="I151" s="10" t="n">
        <v>0.6</v>
      </c>
      <c r="J151" s="10" t="inlineStr">
        <is>
          <t>4500</t>
        </is>
      </c>
      <c r="K151" s="10" t="inlineStr">
        <is>
          <t>140.0</t>
        </is>
      </c>
      <c r="L151" s="11" t="n">
        <v>25</v>
      </c>
      <c r="M151" s="11" t="n">
        <v>69</v>
      </c>
      <c r="N151" s="11" t="n">
        <v>22</v>
      </c>
      <c r="O151" s="11" t="n">
        <v>57</v>
      </c>
      <c r="P151" s="11" t="n">
        <v>50</v>
      </c>
      <c r="Q151" s="11" t="n">
        <v>50</v>
      </c>
      <c r="R151" s="12" t="inlineStr">
        <is>
          <t>REDUCIR RACE | Score: 39/100 | Precio: $338.53 → Target: $462.01 (Upside: +36%) | FORTALEZAS: alta calidad (ROE 45.0%, margen 28.3%) | DEBILIDADES: valoración cara (P/E 29.9x, EV/EBITDA 26.2x); momentum débil (retorno 12M: -21.1%)</t>
        </is>
      </c>
    </row>
    <row r="152">
      <c r="A152" s="5" t="inlineStr">
        <is>
          <t>SE</t>
        </is>
      </c>
      <c r="B152" s="6" t="inlineStr">
        <is>
          <t>Sea Limited</t>
        </is>
      </c>
      <c r="C152" s="6" t="inlineStr">
        <is>
          <t>SEA</t>
        </is>
      </c>
      <c r="D152" s="7" t="n">
        <v>124.78</v>
      </c>
      <c r="E152" s="16">
        <f>ROUND(L152*0.105+M152*0.158+N152*0.421+O152*0.053+P152*0.137+Q152*0.126,1)</f>
        <v/>
      </c>
      <c r="F152" s="16" t="inlineStr">
        <is>
          <t>REDUCE</t>
        </is>
      </c>
      <c r="G152" s="6" t="n">
        <v>25</v>
      </c>
      <c r="H152" s="13" t="n">
        <v>38.3</v>
      </c>
      <c r="I152" s="10" t="n">
        <v>-3.2</v>
      </c>
      <c r="J152" s="10" t="inlineStr">
        <is>
          <t>1570</t>
        </is>
      </c>
      <c r="K152" s="10" t="inlineStr">
        <is>
          <t>100.0</t>
        </is>
      </c>
      <c r="L152" s="11" t="n">
        <v>23</v>
      </c>
      <c r="M152" s="11" t="n">
        <v>53</v>
      </c>
      <c r="N152" s="11" t="n">
        <v>33</v>
      </c>
      <c r="O152" s="11" t="n">
        <v>15</v>
      </c>
      <c r="P152" s="11" t="n">
        <v>50</v>
      </c>
      <c r="Q152" s="11" t="n">
        <v>50</v>
      </c>
      <c r="R152" s="12" t="inlineStr">
        <is>
          <t>REDUCIR SE | Score: 39/100 | Precio: $124.78 → Target: $190.04 (Upside: +52%) | DEBILIDADES: valoración cara (P/E 25.0x, EV/EBITDA 38.3x); momentum débil (retorno 12M: 5.9%); alta volatilidad (beta 1.57, vol 49.9%)</t>
        </is>
      </c>
    </row>
    <row r="153">
      <c r="A153" s="5" t="inlineStr">
        <is>
          <t>KER.PA</t>
        </is>
      </c>
      <c r="B153" s="6" t="inlineStr">
        <is>
          <t>KERING</t>
        </is>
      </c>
      <c r="C153" s="6" t="inlineStr">
        <is>
          <t>Lujo</t>
        </is>
      </c>
      <c r="D153" s="7" t="n">
        <v>274.95</v>
      </c>
      <c r="E153" s="16">
        <f>ROUND(L153*0.105+M153*0.158+N153*0.421+O153*0.053+P153*0.137+Q153*0.126,1)</f>
        <v/>
      </c>
      <c r="F153" s="16" t="inlineStr">
        <is>
          <t>REDUCE</t>
        </is>
      </c>
      <c r="G153" s="13" t="n">
        <v>33</v>
      </c>
      <c r="H153" s="6" t="n">
        <v>17.4</v>
      </c>
      <c r="I153" s="13" t="n">
        <v>5.4</v>
      </c>
      <c r="J153" s="10" t="inlineStr">
        <is>
          <t>520</t>
        </is>
      </c>
      <c r="K153" s="10" t="inlineStr">
        <is>
          <t>330.0</t>
        </is>
      </c>
      <c r="L153" s="11" t="n">
        <v>40</v>
      </c>
      <c r="M153" s="11" t="n">
        <v>20</v>
      </c>
      <c r="N153" s="11" t="n">
        <v>39</v>
      </c>
      <c r="O153" s="11" t="n">
        <v>30</v>
      </c>
      <c r="P153" s="11" t="n">
        <v>50</v>
      </c>
      <c r="Q153" s="11" t="n">
        <v>50</v>
      </c>
      <c r="R153" s="12" t="inlineStr">
        <is>
          <t>REDUCIR KER.PA | Score: 38/100 | Precio: $274.95 → Target: $301.17 (Upside: +10%) | DEBILIDADES: baja calidad operativa (ROE bajo, márgenes débiles); alta volatilidad (beta 1.20, vol 42.1%)</t>
        </is>
      </c>
    </row>
    <row r="154">
      <c r="A154" s="5" t="inlineStr">
        <is>
          <t>MC.PA</t>
        </is>
      </c>
      <c r="B154" s="6" t="inlineStr">
        <is>
          <t>LVMH</t>
        </is>
      </c>
      <c r="C154" s="6" t="inlineStr">
        <is>
          <t>Lujo</t>
        </is>
      </c>
      <c r="D154" s="7" t="n">
        <v>591.4</v>
      </c>
      <c r="E154" s="16">
        <f>ROUND(L154*0.105+M154*0.158+N154*0.421+O154*0.053+P154*0.137+Q154*0.126,1)</f>
        <v/>
      </c>
      <c r="F154" s="16" t="inlineStr">
        <is>
          <t>REDUCE</t>
        </is>
      </c>
      <c r="G154" s="6" t="n">
        <v>24.6</v>
      </c>
      <c r="H154" s="6" t="n">
        <v>15.7</v>
      </c>
      <c r="I154" s="10" t="n">
        <v>1.3</v>
      </c>
      <c r="J154" s="10" t="inlineStr">
        <is>
          <t>1700</t>
        </is>
      </c>
      <c r="K154" s="10" t="inlineStr">
        <is>
          <t>450.0</t>
        </is>
      </c>
      <c r="L154" s="11" t="n">
        <v>51</v>
      </c>
      <c r="M154" s="11" t="n">
        <v>47</v>
      </c>
      <c r="N154" s="11" t="n">
        <v>23</v>
      </c>
      <c r="O154" s="11" t="n">
        <v>51</v>
      </c>
      <c r="P154" s="11" t="n">
        <v>50</v>
      </c>
      <c r="Q154" s="11" t="n">
        <v>50</v>
      </c>
      <c r="R154" s="12" t="inlineStr">
        <is>
          <t>REDUCIR MC.PA | Score: 38/100 | Precio: $591.40 → Target: $648.61 (Upside: +10%) | DEBILIDADES: momentum débil (retorno 12M: -16.0%)</t>
        </is>
      </c>
    </row>
    <row r="155">
      <c r="A155" s="5" t="inlineStr">
        <is>
          <t>BABA</t>
        </is>
      </c>
      <c r="B155" s="6" t="inlineStr">
        <is>
          <t>Alibaba Group Holding Lim</t>
        </is>
      </c>
      <c r="C155" s="6" t="inlineStr">
        <is>
          <t>China Tech</t>
        </is>
      </c>
      <c r="D155" s="7" t="n">
        <v>173.23</v>
      </c>
      <c r="E155" s="16">
        <f>ROUND(L155*0.105+M155*0.158+N155*0.421+O155*0.053+P155*0.137+Q155*0.126,1)</f>
        <v/>
      </c>
      <c r="F155" s="16" t="inlineStr">
        <is>
          <t>REDUCE</t>
        </is>
      </c>
      <c r="G155" s="6" t="n">
        <v>19.5</v>
      </c>
      <c r="H155" s="13" t="n">
        <v>20.1</v>
      </c>
      <c r="I155" s="10" t="n">
        <v>-0.4</v>
      </c>
      <c r="J155" s="10" t="inlineStr">
        <is>
          <t>1120</t>
        </is>
      </c>
      <c r="K155" s="13" t="inlineStr">
        <is>
          <t>-1200.0</t>
        </is>
      </c>
      <c r="L155" s="11" t="n">
        <v>32</v>
      </c>
      <c r="M155" s="11" t="n">
        <v>40</v>
      </c>
      <c r="N155" s="11" t="n">
        <v>54</v>
      </c>
      <c r="O155" s="11" t="n">
        <v>48</v>
      </c>
      <c r="P155" s="11" t="n">
        <v>50</v>
      </c>
      <c r="Q155" s="11" t="n">
        <v>50</v>
      </c>
      <c r="R155" s="12" t="inlineStr">
        <is>
          <t>REDUCIR BABA | Score: 38/100 | Precio: $173.23 → Target: $196.49 (Upside: +13%) | DEBILIDADES: valoración cara (P/E 19.5x, EV/EBITDA 20.1x)</t>
        </is>
      </c>
    </row>
    <row r="156">
      <c r="A156" s="5" t="inlineStr">
        <is>
          <t>SSNLF</t>
        </is>
      </c>
      <c r="B156" s="6" t="inlineStr">
        <is>
          <t>SAMSUNG ELECTRONICS CO</t>
        </is>
      </c>
      <c r="C156" s="6" t="inlineStr">
        <is>
          <t>Korea</t>
        </is>
      </c>
      <c r="D156" s="7" t="n">
        <v>65.20999999999999</v>
      </c>
      <c r="E156" s="16">
        <f>ROUND(L156*0.105+M156*0.158+N156*0.421+O156*0.053+P156*0.137+Q156*0.126,1)</f>
        <v/>
      </c>
      <c r="F156" s="16" t="inlineStr">
        <is>
          <t>REDUCE</t>
        </is>
      </c>
      <c r="G156" s="10" t="n">
        <v>14.7</v>
      </c>
      <c r="H156" s="10" t="n">
        <v>-1.1</v>
      </c>
      <c r="I156" s="10" t="n">
        <v>-1.2</v>
      </c>
      <c r="J156" s="10" t="inlineStr">
        <is>
          <t>830</t>
        </is>
      </c>
      <c r="K156" s="10" t="inlineStr">
        <is>
          <t>108970.0</t>
        </is>
      </c>
      <c r="L156" s="11" t="n">
        <v>87</v>
      </c>
      <c r="M156" s="11" t="n">
        <v>50</v>
      </c>
      <c r="N156" s="11" t="n">
        <v>15</v>
      </c>
      <c r="O156" s="11" t="n">
        <v>27</v>
      </c>
      <c r="P156" s="11" t="n">
        <v>50</v>
      </c>
      <c r="Q156" s="11" t="n">
        <v>50</v>
      </c>
      <c r="R156" s="12" t="inlineStr">
        <is>
          <t>REDUCIR SSNLF | Score: 38/100 | FORTALEZAS: valoración atractiva (P/E 14.7x, EV/EBITDA -1.1x) | DEBILIDADES: momentum débil (retorno 12M: -100.3%); alta volatilidad (beta 0.83, vol 204.4%)</t>
        </is>
      </c>
    </row>
    <row r="157">
      <c r="A157" s="5" t="inlineStr">
        <is>
          <t>BRBY.L</t>
        </is>
      </c>
      <c r="B157" s="6" t="inlineStr">
        <is>
          <t>BURBERRY GROUP PLC ORD 0.</t>
        </is>
      </c>
      <c r="C157" s="6" t="inlineStr">
        <is>
          <t>Lujo</t>
        </is>
      </c>
      <c r="D157" s="7" t="n">
        <v>1195.5</v>
      </c>
      <c r="E157" s="16">
        <f>ROUND(L157*0.105+M157*0.158+N157*0.421+O157*0.053+P157*0.137+Q157*0.126,1)</f>
        <v/>
      </c>
      <c r="F157" s="16" t="inlineStr">
        <is>
          <t>REDUCE</t>
        </is>
      </c>
      <c r="G157" s="6" t="n">
        <v>29.5</v>
      </c>
      <c r="H157" s="13" t="n">
        <v>26.7</v>
      </c>
      <c r="I157" s="13" t="n">
        <v>5.4</v>
      </c>
      <c r="J157" s="13" t="inlineStr">
        <is>
          <t>-310</t>
        </is>
      </c>
      <c r="K157" s="10" t="inlineStr">
        <is>
          <t>1050.0</t>
        </is>
      </c>
      <c r="L157" s="11" t="n">
        <v>42</v>
      </c>
      <c r="M157" s="11" t="n">
        <v>10</v>
      </c>
      <c r="N157" s="11" t="n">
        <v>38</v>
      </c>
      <c r="O157" s="11" t="n">
        <v>43</v>
      </c>
      <c r="P157" s="11" t="n">
        <v>50</v>
      </c>
      <c r="Q157" s="11" t="n">
        <v>50</v>
      </c>
      <c r="R157" s="12" t="inlineStr">
        <is>
          <t>REDUCIR BRBY.L | Score: 37/100 | Precio: $1195.50 → Target: $1338.95 (Upside: +12%) | DEBILIDADES: baja calidad operativa (ROE bajo, márgenes débiles)</t>
        </is>
      </c>
    </row>
    <row r="158">
      <c r="A158" s="5" t="inlineStr">
        <is>
          <t>PYPL</t>
        </is>
      </c>
      <c r="B158" s="6" t="inlineStr">
        <is>
          <t>PayPal Holdings, Inc.</t>
        </is>
      </c>
      <c r="C158" s="6" t="inlineStr">
        <is>
          <t>Fintech</t>
        </is>
      </c>
      <c r="D158" s="7" t="n">
        <v>56.62</v>
      </c>
      <c r="E158" s="16">
        <f>ROUND(L158*0.105+M158*0.158+N158*0.421+O158*0.053+P158*0.137+Q158*0.126,1)</f>
        <v/>
      </c>
      <c r="F158" s="16" t="inlineStr">
        <is>
          <t>REDUCE</t>
        </is>
      </c>
      <c r="G158" s="10" t="n">
        <v>9.800000000000001</v>
      </c>
      <c r="H158" s="10" t="n">
        <v>8.199999999999999</v>
      </c>
      <c r="I158" s="10" t="n">
        <v>0.2</v>
      </c>
      <c r="J158" s="10" t="inlineStr">
        <is>
          <t>2440</t>
        </is>
      </c>
      <c r="K158" s="10" t="inlineStr">
        <is>
          <t>580.0</t>
        </is>
      </c>
      <c r="L158" s="11" t="n">
        <v>77</v>
      </c>
      <c r="M158" s="11" t="n">
        <v>60</v>
      </c>
      <c r="N158" s="11" t="n">
        <v>11</v>
      </c>
      <c r="O158" s="11" t="n">
        <v>28</v>
      </c>
      <c r="P158" s="11" t="n">
        <v>50</v>
      </c>
      <c r="Q158" s="11" t="n">
        <v>50</v>
      </c>
      <c r="R158" s="12" t="inlineStr">
        <is>
          <t>REDUCIR PYPL | Score: 37/100 | Precio: $56.62 → Target: $73.33 (Upside: +30%) | FORTALEZAS: valoración atractiva (P/E 9.8x, EV/EBITDA 8.2x) | DEBILIDADES: momentum débil (retorno 12M: -36.3%); alta volatilidad (beta 1.43, vol 37.3%)</t>
        </is>
      </c>
    </row>
    <row r="159">
      <c r="A159" s="5" t="inlineStr">
        <is>
          <t>ORSTED.CO</t>
        </is>
      </c>
      <c r="B159" s="6" t="inlineStr">
        <is>
          <t>ORSTED A/S</t>
        </is>
      </c>
      <c r="C159" s="6" t="inlineStr">
        <is>
          <t>Energia Renovables</t>
        </is>
      </c>
      <c r="D159" s="7" t="n">
        <v>137.75</v>
      </c>
      <c r="E159" s="16">
        <f>ROUND(L159*0.105+M159*0.158+N159*0.421+O159*0.053+P159*0.137+Q159*0.126,1)</f>
        <v/>
      </c>
      <c r="F159" s="16" t="inlineStr">
        <is>
          <t>REDUCE</t>
        </is>
      </c>
      <c r="G159" s="6" t="n">
        <v>17.1</v>
      </c>
      <c r="H159" s="10" t="n">
        <v>7</v>
      </c>
      <c r="I159" s="6" t="n">
        <v>3.8</v>
      </c>
      <c r="J159" s="10" t="inlineStr">
        <is>
          <t>50</t>
        </is>
      </c>
      <c r="K159" s="13" t="inlineStr">
        <is>
          <t>-1970.0</t>
        </is>
      </c>
      <c r="L159" s="11" t="n">
        <v>47</v>
      </c>
      <c r="M159" s="11" t="n">
        <v>14</v>
      </c>
      <c r="N159" s="11" t="n">
        <v>34</v>
      </c>
      <c r="O159" s="11" t="n">
        <v>34</v>
      </c>
      <c r="P159" s="11" t="n">
        <v>50</v>
      </c>
      <c r="Q159" s="11" t="n">
        <v>50</v>
      </c>
      <c r="R159" s="12" t="inlineStr">
        <is>
          <t>REDUCIR ORSTED.CO | Score: 37/100 | Precio: $137.75 → Target: $142.46 (Upside: +3%) | DEBILIDADES: baja calidad operativa (ROE bajo, márgenes débiles); momentum débil (retorno 12M: -46.4%); alta volatilidad (beta 0.62, vol 70.1%)</t>
        </is>
      </c>
    </row>
    <row r="160">
      <c r="A160" s="5" t="inlineStr">
        <is>
          <t>MELI</t>
        </is>
      </c>
      <c r="B160" s="6" t="inlineStr">
        <is>
          <t>MercadoLibre, Inc.</t>
        </is>
      </c>
      <c r="C160" s="6" t="inlineStr">
        <is>
          <t>Fintech</t>
        </is>
      </c>
      <c r="D160" s="7" t="n">
        <v>2137.29</v>
      </c>
      <c r="E160" s="16">
        <f>ROUND(L160*0.105+M160*0.158+N160*0.421+O160*0.053+P160*0.137+Q160*0.126,1)</f>
        <v/>
      </c>
      <c r="F160" s="16" t="inlineStr">
        <is>
          <t>REDUCE</t>
        </is>
      </c>
      <c r="G160" s="13" t="n">
        <v>35.9</v>
      </c>
      <c r="H160" s="13" t="n">
        <v>29.5</v>
      </c>
      <c r="I160" s="10" t="n">
        <v>1.5</v>
      </c>
      <c r="J160" s="10" t="inlineStr">
        <is>
          <t>4060</t>
        </is>
      </c>
      <c r="K160" s="13" t="inlineStr">
        <is>
          <t>-380.0</t>
        </is>
      </c>
      <c r="L160" s="11" t="n">
        <v>13</v>
      </c>
      <c r="M160" s="11" t="n">
        <v>49</v>
      </c>
      <c r="N160" s="11" t="n">
        <v>30</v>
      </c>
      <c r="O160" s="11" t="n">
        <v>27</v>
      </c>
      <c r="P160" s="11" t="n">
        <v>50</v>
      </c>
      <c r="Q160" s="11" t="n">
        <v>50</v>
      </c>
      <c r="R160" s="12" t="inlineStr">
        <is>
          <t>REDUCIR MELI | Score: 37/100 | Precio: $2137.29 → Target: $2817.00 (Upside: +32%) | DEBILIDADES: valoración cara (P/E 35.9x, EV/EBITDA 29.5x); momentum débil (retorno 12M: 15.9%); alta volatilidad (beta 1.42, vol 38.3%)</t>
        </is>
      </c>
    </row>
    <row r="161">
      <c r="A161" s="5" t="inlineStr">
        <is>
          <t>PDD</t>
        </is>
      </c>
      <c r="B161" s="6" t="inlineStr">
        <is>
          <t>PDD Holdings Inc.</t>
        </is>
      </c>
      <c r="C161" s="6" t="inlineStr">
        <is>
          <t>China Tech</t>
        </is>
      </c>
      <c r="D161" s="7" t="n">
        <v>106.38</v>
      </c>
      <c r="E161" s="16">
        <f>ROUND(L161*0.105+M161*0.158+N161*0.421+O161*0.053+P161*0.137+Q161*0.126,1)</f>
        <v/>
      </c>
      <c r="F161" s="16" t="inlineStr">
        <is>
          <t>REDUCE</t>
        </is>
      </c>
      <c r="G161" s="10" t="n">
        <v>8.5</v>
      </c>
      <c r="H161" s="10" t="n">
        <v>2</v>
      </c>
      <c r="I161" s="10" t="n">
        <v>-4.4</v>
      </c>
      <c r="J161" s="10" t="inlineStr">
        <is>
          <t>3050</t>
        </is>
      </c>
      <c r="K161" s="10" t="inlineStr">
        <is>
          <t>5790.0</t>
        </is>
      </c>
      <c r="L161" s="11" t="n">
        <v>89</v>
      </c>
      <c r="M161" s="11" t="n">
        <v>75</v>
      </c>
      <c r="N161" s="11" t="n">
        <v>19</v>
      </c>
      <c r="O161" s="11" t="n">
        <v>68</v>
      </c>
      <c r="P161" s="11" t="n">
        <v>50</v>
      </c>
      <c r="Q161" s="11" t="n">
        <v>50</v>
      </c>
      <c r="R161" s="12" t="inlineStr">
        <is>
          <t>REDUCIR PDD | Score: 36/100 | Precio: $106.38 → Target: $148.64 (Upside: +40%) | FORTALEZAS: valoración atractiva (P/E 8.5x, EV/EBITDA 2.0x); alta calidad (ROE 30.5%, margen 23.1%); baja volatilidad (beta 0.01, vol 39.9%) | DEBILIDADES: momentum débil (retorno 12M: -4.5%) | ESTRATEGIA: Largo plazo (value-quality) - empresa dominante a buen precio</t>
        </is>
      </c>
    </row>
    <row r="162">
      <c r="A162" s="5" t="inlineStr">
        <is>
          <t>QCOM</t>
        </is>
      </c>
      <c r="B162" s="6" t="inlineStr">
        <is>
          <t>QUALCOMM Incorporated</t>
        </is>
      </c>
      <c r="C162" s="6" t="inlineStr">
        <is>
          <t>Semiconductores</t>
        </is>
      </c>
      <c r="D162" s="7" t="n">
        <v>155.82</v>
      </c>
      <c r="E162" s="16">
        <f>ROUND(L162*0.105+M162*0.158+N162*0.421+O162*0.053+P162*0.137+Q162*0.126,1)</f>
        <v/>
      </c>
      <c r="F162" s="16" t="inlineStr">
        <is>
          <t>REDUCE</t>
        </is>
      </c>
      <c r="G162" s="10" t="n">
        <v>12.6</v>
      </c>
      <c r="H162" s="6" t="n">
        <v>12.3</v>
      </c>
      <c r="I162" s="10" t="n">
        <v>0.4</v>
      </c>
      <c r="J162" s="10" t="inlineStr">
        <is>
          <t>2330</t>
        </is>
      </c>
      <c r="K162" s="10" t="inlineStr">
        <is>
          <t>410.0</t>
        </is>
      </c>
      <c r="L162" s="11" t="n">
        <v>67</v>
      </c>
      <c r="M162" s="11" t="n">
        <v>62</v>
      </c>
      <c r="N162" s="11" t="n">
        <v>10</v>
      </c>
      <c r="O162" s="11" t="n">
        <v>33</v>
      </c>
      <c r="P162" s="11" t="n">
        <v>50</v>
      </c>
      <c r="Q162" s="11" t="n">
        <v>50</v>
      </c>
      <c r="R162" s="12" t="inlineStr">
        <is>
          <t>REDUCIR QCOM | Score: 36/100 | Precio: $155.82 → Target: $191.35 (Upside: +23%) | FORTALEZAS: valoración atractiva (P/E 12.6x, EV/EBITDA 12.3x) | DEBILIDADES: momentum débil (retorno 12M: -7.4%); alta volatilidad (beta 1.21, vol 38.7%)</t>
        </is>
      </c>
    </row>
    <row r="163">
      <c r="A163" s="5" t="inlineStr">
        <is>
          <t>PATH</t>
        </is>
      </c>
      <c r="B163" s="6" t="inlineStr">
        <is>
          <t>UiPath, Inc.</t>
        </is>
      </c>
      <c r="C163" s="6" t="inlineStr">
        <is>
          <t>IA Software</t>
        </is>
      </c>
      <c r="D163" s="7" t="n">
        <v>14.8</v>
      </c>
      <c r="E163" s="16">
        <f>ROUND(L163*0.105+M163*0.158+N163*0.421+O163*0.053+P163*0.137+Q163*0.126,1)</f>
        <v/>
      </c>
      <c r="F163" s="16" t="inlineStr">
        <is>
          <t>REDUCE</t>
        </is>
      </c>
      <c r="G163" s="6" t="n">
        <v>19.5</v>
      </c>
      <c r="H163" s="13" t="n">
        <v>181.4</v>
      </c>
      <c r="I163" s="10" t="n">
        <v>-36.2</v>
      </c>
      <c r="J163" s="10" t="inlineStr">
        <is>
          <t>1260</t>
        </is>
      </c>
      <c r="K163" s="10" t="inlineStr">
        <is>
          <t>530.0</t>
        </is>
      </c>
      <c r="L163" s="11" t="n">
        <v>42</v>
      </c>
      <c r="M163" s="11" t="n">
        <v>48</v>
      </c>
      <c r="N163" s="11" t="n">
        <v>22</v>
      </c>
      <c r="O163" s="11" t="n">
        <v>23</v>
      </c>
      <c r="P163" s="11" t="n">
        <v>50</v>
      </c>
      <c r="Q163" s="11" t="n">
        <v>50</v>
      </c>
      <c r="R163" s="12" t="inlineStr">
        <is>
          <t>REDUCIR PATH | Score: 36/100 | Precio: $14.80 → Target: $16.40 (Upside: +11%) | DEBILIDADES: momentum débil (retorno 12M: 6.3%); alta volatilidad (beta 1.08, vol 62.3%)</t>
        </is>
      </c>
    </row>
    <row r="164">
      <c r="A164" s="5" t="inlineStr">
        <is>
          <t>GRAB</t>
        </is>
      </c>
      <c r="B164" s="6" t="inlineStr">
        <is>
          <t>Grab Holdings Limited</t>
        </is>
      </c>
      <c r="C164" s="6" t="inlineStr">
        <is>
          <t>SEA</t>
        </is>
      </c>
      <c r="D164" s="7" t="n">
        <v>4.58</v>
      </c>
      <c r="E164" s="16">
        <f>ROUND(L164*0.105+M164*0.158+N164*0.421+O164*0.053+P164*0.137+Q164*0.126,1)</f>
        <v/>
      </c>
      <c r="F164" s="16" t="inlineStr">
        <is>
          <t>REDUCE</t>
        </is>
      </c>
      <c r="G164" s="13" t="n">
        <v>44.2</v>
      </c>
      <c r="H164" s="13" t="n">
        <v>72.2</v>
      </c>
      <c r="I164" s="10" t="n">
        <v>-26</v>
      </c>
      <c r="J164" s="10" t="inlineStr">
        <is>
          <t>90</t>
        </is>
      </c>
      <c r="K164" s="10" t="inlineStr">
        <is>
          <t>190.0</t>
        </is>
      </c>
      <c r="L164" s="11" t="n">
        <v>18</v>
      </c>
      <c r="M164" s="11" t="n">
        <v>39</v>
      </c>
      <c r="N164" s="11" t="n">
        <v>29</v>
      </c>
      <c r="O164" s="11" t="n">
        <v>34</v>
      </c>
      <c r="P164" s="11" t="n">
        <v>50</v>
      </c>
      <c r="Q164" s="11" t="n">
        <v>50</v>
      </c>
      <c r="R164" s="12" t="inlineStr">
        <is>
          <t>REDUCIR GRAB | Score: 35/100 | Precio: $4.58 → Target: $6.83 (Upside: +49%) | DEBILIDADES: valoración cara (P/E 44.2x, EV/EBITDA 72.2x); momentum débil (retorno 12M: 0.2%); alta volatilidad (beta 0.90, vol 51.9%)</t>
        </is>
      </c>
    </row>
    <row r="165">
      <c r="A165" s="5" t="inlineStr">
        <is>
          <t>SE</t>
        </is>
      </c>
      <c r="B165" s="6" t="inlineStr">
        <is>
          <t>Sea Limited</t>
        </is>
      </c>
      <c r="C165" s="6" t="inlineStr">
        <is>
          <t>Fintech</t>
        </is>
      </c>
      <c r="D165" s="7" t="n">
        <v>124.78</v>
      </c>
      <c r="E165" s="16">
        <f>ROUND(L165*0.105+M165*0.158+N165*0.421+O165*0.053+P165*0.137+Q165*0.126,1)</f>
        <v/>
      </c>
      <c r="F165" s="16" t="inlineStr">
        <is>
          <t>REDUCE</t>
        </is>
      </c>
      <c r="G165" s="6" t="n">
        <v>25</v>
      </c>
      <c r="H165" s="13" t="n">
        <v>38.3</v>
      </c>
      <c r="I165" s="10" t="n">
        <v>-3.2</v>
      </c>
      <c r="J165" s="10" t="inlineStr">
        <is>
          <t>1570</t>
        </is>
      </c>
      <c r="K165" s="10" t="inlineStr">
        <is>
          <t>100.0</t>
        </is>
      </c>
      <c r="L165" s="11" t="n">
        <v>23</v>
      </c>
      <c r="M165" s="11" t="n">
        <v>52</v>
      </c>
      <c r="N165" s="11" t="n">
        <v>25</v>
      </c>
      <c r="O165" s="11" t="n">
        <v>15</v>
      </c>
      <c r="P165" s="11" t="n">
        <v>50</v>
      </c>
      <c r="Q165" s="11" t="n">
        <v>50</v>
      </c>
      <c r="R165" s="12" t="inlineStr">
        <is>
          <t>REDUCIR SE | Score: 35/100 | Precio: $124.78 → Target: $190.04 (Upside: +52%) | DEBILIDADES: valoración cara (P/E 25.0x, EV/EBITDA 38.3x); momentum débil (retorno 12M: 5.9%); alta volatilidad (beta 1.57, vol 49.9%)</t>
        </is>
      </c>
    </row>
    <row r="166">
      <c r="A166" s="5" t="inlineStr">
        <is>
          <t>AMZN</t>
        </is>
      </c>
      <c r="B166" s="6" t="inlineStr">
        <is>
          <t>Amazon.com, Inc.</t>
        </is>
      </c>
      <c r="C166" s="6" t="inlineStr">
        <is>
          <t>Big Tech</t>
        </is>
      </c>
      <c r="D166" s="7" t="n">
        <v>239.16</v>
      </c>
      <c r="E166" s="16">
        <f>ROUND(L166*0.105+M166*0.158+N166*0.421+O166*0.053+P166*0.137+Q166*0.126,1)</f>
        <v/>
      </c>
      <c r="F166" s="16" t="inlineStr">
        <is>
          <t>REDUCE</t>
        </is>
      </c>
      <c r="G166" s="13" t="n">
        <v>30.4</v>
      </c>
      <c r="H166" s="6" t="n">
        <v>18.8</v>
      </c>
      <c r="I166" s="10" t="n">
        <v>0.5</v>
      </c>
      <c r="J166" s="10" t="inlineStr">
        <is>
          <t>2430</t>
        </is>
      </c>
      <c r="K166" s="10" t="inlineStr">
        <is>
          <t>100.0</t>
        </is>
      </c>
      <c r="L166" s="11" t="n">
        <v>30</v>
      </c>
      <c r="M166" s="11" t="n">
        <v>51</v>
      </c>
      <c r="N166" s="11" t="n">
        <v>21</v>
      </c>
      <c r="O166" s="11" t="n">
        <v>33</v>
      </c>
      <c r="P166" s="11" t="n">
        <v>50</v>
      </c>
      <c r="Q166" s="11" t="n">
        <v>50</v>
      </c>
      <c r="R166" s="12" t="inlineStr">
        <is>
          <t>REDUCIR AMZN | Score: 35/100 | Precio: $239.16 → Target: $295.61 (Upside: +24%) | DEBILIDADES: valoración cara (P/E 30.4x, EV/EBITDA 18.8x); momentum débil (retorno 12M: 1.8%); alta volatilidad (beta 1.38, vol 34.7%)</t>
        </is>
      </c>
    </row>
    <row r="167">
      <c r="A167" s="5" t="inlineStr">
        <is>
          <t>MSFT</t>
        </is>
      </c>
      <c r="B167" s="6" t="inlineStr">
        <is>
          <t>Microsoft Corporation</t>
        </is>
      </c>
      <c r="C167" s="6" t="inlineStr">
        <is>
          <t>Big Tech</t>
        </is>
      </c>
      <c r="D167" s="7" t="n">
        <v>465.95</v>
      </c>
      <c r="E167" s="16">
        <f>ROUND(L167*0.105+M167*0.158+N167*0.421+O167*0.053+P167*0.137+Q167*0.126,1)</f>
        <v/>
      </c>
      <c r="F167" s="16" t="inlineStr">
        <is>
          <t>REDUCE</t>
        </is>
      </c>
      <c r="G167" s="6" t="n">
        <v>24.9</v>
      </c>
      <c r="H167" s="13" t="n">
        <v>20.9</v>
      </c>
      <c r="I167" s="10" t="n">
        <v>0.1</v>
      </c>
      <c r="J167" s="10" t="inlineStr">
        <is>
          <t>3220</t>
        </is>
      </c>
      <c r="K167" s="10" t="inlineStr">
        <is>
          <t>150.0</t>
        </is>
      </c>
      <c r="L167" s="11" t="n">
        <v>33</v>
      </c>
      <c r="M167" s="11" t="n">
        <v>79</v>
      </c>
      <c r="N167" s="11" t="n">
        <v>22</v>
      </c>
      <c r="O167" s="11" t="n">
        <v>61</v>
      </c>
      <c r="P167" s="17" t="n">
        <v>0</v>
      </c>
      <c r="Q167" s="11" t="n">
        <v>50</v>
      </c>
      <c r="R167" s="12" t="inlineStr">
        <is>
          <t>REDUCIR MSFT | Score: 35/100 | Precio: $465.95 → Target: $617.86 (Upside: +33%) | FORTALEZAS: alta calidad (ROE 32.2%, margen 48.9%) | DEBILIDADES: valoración cara (P/E 24.9x, EV/EBITDA 20.9x); momentum débil (retorno 12M: 5.7%); congresistas vendiendo</t>
        </is>
      </c>
    </row>
    <row r="168">
      <c r="A168" s="5" t="inlineStr">
        <is>
          <t>SNOW</t>
        </is>
      </c>
      <c r="B168" s="6" t="inlineStr">
        <is>
          <t>Snowflake Inc.</t>
        </is>
      </c>
      <c r="C168" s="6" t="inlineStr">
        <is>
          <t>IA Software</t>
        </is>
      </c>
      <c r="D168" s="7" t="n">
        <v>209.69</v>
      </c>
      <c r="E168" s="16">
        <f>ROUND(L168*0.105+M168*0.158+N168*0.421+O168*0.053+P168*0.137+Q168*0.126,1)</f>
        <v/>
      </c>
      <c r="F168" s="16" t="inlineStr">
        <is>
          <t>REDUCE</t>
        </is>
      </c>
      <c r="G168" s="13" t="n">
        <v>128.4</v>
      </c>
      <c r="H168" s="10" t="n">
        <v>-57.6</v>
      </c>
      <c r="I168" s="6" t="inlineStr">
        <is>
          <t>-</t>
        </is>
      </c>
      <c r="J168" s="13" t="inlineStr">
        <is>
          <t>-5310</t>
        </is>
      </c>
      <c r="K168" s="10" t="inlineStr">
        <is>
          <t>180.0</t>
        </is>
      </c>
      <c r="L168" s="11" t="n">
        <v>47</v>
      </c>
      <c r="M168" s="11" t="n">
        <v>18</v>
      </c>
      <c r="N168" s="11" t="n">
        <v>29</v>
      </c>
      <c r="O168" s="11" t="n">
        <v>26</v>
      </c>
      <c r="P168" s="11" t="n">
        <v>50</v>
      </c>
      <c r="Q168" s="11" t="n">
        <v>50</v>
      </c>
      <c r="R168" s="12" t="inlineStr">
        <is>
          <t>REDUCIR SNOW | Score: 34/100 | Precio: $209.69 → Target: $282.90 (Upside: +35%) | DEBILIDADES: baja calidad operativa (ROE bajo, márgenes débiles); momentum débil (retorno 12M: 20.4%); alta volatilidad (beta 1.14, vol 49.8%)</t>
        </is>
      </c>
    </row>
    <row r="169">
      <c r="A169" s="5" t="inlineStr">
        <is>
          <t>AFRM</t>
        </is>
      </c>
      <c r="B169" s="6" t="inlineStr">
        <is>
          <t>Affirm Holdings, Inc.</t>
        </is>
      </c>
      <c r="C169" s="6" t="inlineStr">
        <is>
          <t>Fintech</t>
        </is>
      </c>
      <c r="D169" s="7" t="n">
        <v>71.43000000000001</v>
      </c>
      <c r="E169" s="16">
        <f>ROUND(L169*0.105+M169*0.158+N169*0.421+O169*0.053+P169*0.137+Q169*0.126,1)</f>
        <v/>
      </c>
      <c r="F169" s="16" t="inlineStr">
        <is>
          <t>REDUCE</t>
        </is>
      </c>
      <c r="G169" s="6" t="n">
        <v>19.3</v>
      </c>
      <c r="H169" s="13" t="n">
        <v>76.3</v>
      </c>
      <c r="I169" s="13" t="n">
        <v>16.4</v>
      </c>
      <c r="J169" s="10" t="inlineStr">
        <is>
          <t>760</t>
        </is>
      </c>
      <c r="K169" s="10" t="inlineStr">
        <is>
          <t>80.0</t>
        </is>
      </c>
      <c r="L169" s="11" t="n">
        <v>27</v>
      </c>
      <c r="M169" s="11" t="n">
        <v>15</v>
      </c>
      <c r="N169" s="11" t="n">
        <v>37</v>
      </c>
      <c r="O169" s="11" t="n">
        <v>2</v>
      </c>
      <c r="P169" s="11" t="n">
        <v>50</v>
      </c>
      <c r="Q169" s="11" t="n">
        <v>50</v>
      </c>
      <c r="R169" s="12" t="inlineStr">
        <is>
          <t>REDUCIR AFRM | Score: 34/100 | Precio: $71.43 → Target: $92.34 (Upside: +29%) | DEBILIDADES: valoración cara (P/E 19.3x, EV/EBITDA 76.3x); baja calidad operativa (ROE bajo, márgenes débiles); alta volatilidad (beta 3.57, vol 75.2%)</t>
        </is>
      </c>
    </row>
    <row r="170">
      <c r="A170" s="5" t="inlineStr">
        <is>
          <t>SAP</t>
        </is>
      </c>
      <c r="B170" s="6" t="inlineStr">
        <is>
          <t>SAP  SE</t>
        </is>
      </c>
      <c r="C170" s="6" t="inlineStr">
        <is>
          <t>IA Software</t>
        </is>
      </c>
      <c r="D170" s="7" t="n">
        <v>231.07</v>
      </c>
      <c r="E170" s="16">
        <f>ROUND(L170*0.105+M170*0.158+N170*0.421+O170*0.053+P170*0.137+Q170*0.126,1)</f>
        <v/>
      </c>
      <c r="F170" s="16" t="inlineStr">
        <is>
          <t>REDUCE</t>
        </is>
      </c>
      <c r="G170" s="6" t="n">
        <v>27.3</v>
      </c>
      <c r="H170" s="13" t="n">
        <v>24.8</v>
      </c>
      <c r="I170" s="10" t="n">
        <v>-0.1</v>
      </c>
      <c r="J170" s="10" t="inlineStr">
        <is>
          <t>1700</t>
        </is>
      </c>
      <c r="K170" s="10" t="inlineStr">
        <is>
          <t>260.0</t>
        </is>
      </c>
      <c r="L170" s="11" t="n">
        <v>32</v>
      </c>
      <c r="M170" s="11" t="n">
        <v>61</v>
      </c>
      <c r="N170" s="11" t="n">
        <v>10</v>
      </c>
      <c r="O170" s="11" t="n">
        <v>63</v>
      </c>
      <c r="P170" s="11" t="n">
        <v>50</v>
      </c>
      <c r="Q170" s="11" t="n">
        <v>50</v>
      </c>
      <c r="R170" s="12" t="inlineStr">
        <is>
          <t>REDUCIR SAP | Score: 34/100 | Precio: $231.07 → Target: $336.00 (Upside: +45%) | DEBILIDADES: valoración cara (P/E 27.3x, EV/EBITDA 24.8x); momentum débil (retorno 12M: -15.6%)</t>
        </is>
      </c>
    </row>
    <row r="171">
      <c r="A171" s="5" t="inlineStr">
        <is>
          <t>SSNLF</t>
        </is>
      </c>
      <c r="B171" s="6" t="inlineStr">
        <is>
          <t>SAMSUNG ELECTRONICS CO</t>
        </is>
      </c>
      <c r="C171" s="6" t="inlineStr">
        <is>
          <t>Semiconductores</t>
        </is>
      </c>
      <c r="D171" s="7" t="n">
        <v>65.20999999999999</v>
      </c>
      <c r="E171" s="16">
        <f>ROUND(L171*0.105+M171*0.158+N171*0.421+O171*0.053+P171*0.137+Q171*0.126,1)</f>
        <v/>
      </c>
      <c r="F171" s="16" t="inlineStr">
        <is>
          <t>REDUCE</t>
        </is>
      </c>
      <c r="G171" s="10" t="n">
        <v>14.7</v>
      </c>
      <c r="H171" s="10" t="n">
        <v>-1.1</v>
      </c>
      <c r="I171" s="10" t="n">
        <v>-1.2</v>
      </c>
      <c r="J171" s="10" t="inlineStr">
        <is>
          <t>830</t>
        </is>
      </c>
      <c r="K171" s="10" t="inlineStr">
        <is>
          <t>108970.0</t>
        </is>
      </c>
      <c r="L171" s="11" t="n">
        <v>87</v>
      </c>
      <c r="M171" s="11" t="n">
        <v>49</v>
      </c>
      <c r="N171" s="11" t="n">
        <v>3</v>
      </c>
      <c r="O171" s="11" t="n">
        <v>26</v>
      </c>
      <c r="P171" s="11" t="n">
        <v>50</v>
      </c>
      <c r="Q171" s="11" t="n">
        <v>50</v>
      </c>
      <c r="R171" s="12" t="inlineStr">
        <is>
          <t>REDUCIR SSNLF | Score: 33/100 | FORTALEZAS: valoración atractiva (P/E 14.7x, EV/EBITDA -1.1x) | DEBILIDADES: momentum débil (retorno 12M: -100.3%); alta volatilidad (beta 0.83, vol 204.4%)</t>
        </is>
      </c>
    </row>
    <row r="172">
      <c r="A172" s="5" t="inlineStr">
        <is>
          <t>CRM</t>
        </is>
      </c>
      <c r="B172" s="6" t="inlineStr">
        <is>
          <t>Salesforce, Inc.</t>
        </is>
      </c>
      <c r="C172" s="6" t="inlineStr">
        <is>
          <t>IA Software</t>
        </is>
      </c>
      <c r="D172" s="7" t="n">
        <v>228.05</v>
      </c>
      <c r="E172" s="16">
        <f>ROUND(L172*0.105+M172*0.158+N172*0.421+O172*0.053+P172*0.137+Q172*0.126,1)</f>
        <v/>
      </c>
      <c r="F172" s="16" t="inlineStr">
        <is>
          <t>REDUCE</t>
        </is>
      </c>
      <c r="G172" s="6" t="n">
        <v>17.4</v>
      </c>
      <c r="H172" s="6" t="n">
        <v>18.1</v>
      </c>
      <c r="I172" s="10" t="n">
        <v>0</v>
      </c>
      <c r="J172" s="10" t="inlineStr">
        <is>
          <t>1220</t>
        </is>
      </c>
      <c r="K172" s="10" t="inlineStr">
        <is>
          <t>670.0</t>
        </is>
      </c>
      <c r="L172" s="11" t="n">
        <v>60</v>
      </c>
      <c r="M172" s="11" t="n">
        <v>52</v>
      </c>
      <c r="N172" s="11" t="n">
        <v>6</v>
      </c>
      <c r="O172" s="11" t="n">
        <v>37</v>
      </c>
      <c r="P172" s="11" t="n">
        <v>50</v>
      </c>
      <c r="Q172" s="11" t="n">
        <v>50</v>
      </c>
      <c r="R172" s="12" t="inlineStr">
        <is>
          <t>REDUCIR CRM | Score: 32/100 | Precio: $228.05 → Target: $329.65 (Upside: +45%) | DEBILIDADES: momentum débil (retorno 12M: -31.3%)</t>
        </is>
      </c>
    </row>
    <row r="173">
      <c r="A173" s="5" t="inlineStr">
        <is>
          <t>ORCL</t>
        </is>
      </c>
      <c r="B173" s="6" t="inlineStr">
        <is>
          <t>Oracle Corporation</t>
        </is>
      </c>
      <c r="C173" s="6" t="inlineStr">
        <is>
          <t>IA Software</t>
        </is>
      </c>
      <c r="D173" s="7" t="n">
        <v>177.16</v>
      </c>
      <c r="E173" s="16">
        <f>ROUND(L173*0.105+M173*0.158+N173*0.421+O173*0.053+P173*0.137+Q173*0.126,1)</f>
        <v/>
      </c>
      <c r="F173" s="16" t="inlineStr">
        <is>
          <t>REDUCE</t>
        </is>
      </c>
      <c r="G173" s="6" t="n">
        <v>22.3</v>
      </c>
      <c r="H173" s="13" t="n">
        <v>23.7</v>
      </c>
      <c r="I173" s="13" t="n">
        <v>4.3</v>
      </c>
      <c r="J173" s="10" t="inlineStr">
        <is>
          <t>6900</t>
        </is>
      </c>
      <c r="K173" s="13" t="inlineStr">
        <is>
          <t>-200.0</t>
        </is>
      </c>
      <c r="L173" s="11" t="n">
        <v>27</v>
      </c>
      <c r="M173" s="11" t="n">
        <v>60</v>
      </c>
      <c r="N173" s="11" t="n">
        <v>13</v>
      </c>
      <c r="O173" s="11" t="n">
        <v>10</v>
      </c>
      <c r="P173" s="11" t="n">
        <v>50</v>
      </c>
      <c r="Q173" s="11" t="n">
        <v>50</v>
      </c>
      <c r="R173" s="12" t="inlineStr">
        <is>
          <t>REDUCIR ORCL | Score: 31/100 | Precio: $177.16 → Target: $288.26 (Upside: +63%) | DEBILIDADES: valoración cara (P/E 22.3x, EV/EBITDA 23.7x); momentum débil (retorno 12M: -2.5%); alta volatilidad (beta 1.65, vol 61.6%)</t>
        </is>
      </c>
    </row>
    <row r="174">
      <c r="A174" s="5" t="inlineStr">
        <is>
          <t>NOW</t>
        </is>
      </c>
      <c r="B174" s="6" t="inlineStr">
        <is>
          <t>ServiceNow, Inc.</t>
        </is>
      </c>
      <c r="C174" s="6" t="inlineStr">
        <is>
          <t>IA Software</t>
        </is>
      </c>
      <c r="D174" s="7" t="n">
        <v>133.11</v>
      </c>
      <c r="E174" s="16">
        <f>ROUND(L174*0.105+M174*0.158+N174*0.421+O174*0.053+P174*0.137+Q174*0.126,1)</f>
        <v/>
      </c>
      <c r="F174" s="16" t="inlineStr">
        <is>
          <t>SELL</t>
        </is>
      </c>
      <c r="G174" s="13" t="n">
        <v>32.7</v>
      </c>
      <c r="H174" s="13" t="n">
        <v>54.1</v>
      </c>
      <c r="I174" s="10" t="n">
        <v>-1.2</v>
      </c>
      <c r="J174" s="10" t="inlineStr">
        <is>
          <t>1680</t>
        </is>
      </c>
      <c r="K174" s="10" t="inlineStr">
        <is>
          <t>280.0</t>
        </is>
      </c>
      <c r="L174" s="11" t="n">
        <v>25</v>
      </c>
      <c r="M174" s="11" t="n">
        <v>60</v>
      </c>
      <c r="N174" s="11" t="n">
        <v>6</v>
      </c>
      <c r="O174" s="11" t="n">
        <v>39</v>
      </c>
      <c r="P174" s="11" t="n">
        <v>50</v>
      </c>
      <c r="Q174" s="11" t="n">
        <v>50</v>
      </c>
      <c r="R174" s="12" t="inlineStr">
        <is>
          <t>VENDER NOW | Score: 30/100 | Precio: $133.11 → Target: $208.37 (Upside: +57%) | DEBILIDADES: valoración cara (P/E 32.7x, EV/EBITDA 54.1x); momentum débil (retorno 12M: -40.8%)</t>
        </is>
      </c>
    </row>
    <row r="175">
      <c r="A175" s="5" t="inlineStr">
        <is>
          <t>XPEV</t>
        </is>
      </c>
      <c r="B175" s="6" t="inlineStr">
        <is>
          <t>XPeng Inc.</t>
        </is>
      </c>
      <c r="C175" s="6" t="inlineStr">
        <is>
          <t>China Tech</t>
        </is>
      </c>
      <c r="D175" s="7" t="n">
        <v>19.25</v>
      </c>
      <c r="E175" s="16">
        <f>ROUND(L175*0.105+M175*0.158+N175*0.421+O175*0.053+P175*0.137+Q175*0.126,1)</f>
        <v/>
      </c>
      <c r="F175" s="16" t="inlineStr">
        <is>
          <t>SELL</t>
        </is>
      </c>
      <c r="G175" s="13" t="n">
        <v>51.4</v>
      </c>
      <c r="H175" s="10" t="n">
        <v>-9.5</v>
      </c>
      <c r="I175" s="6" t="inlineStr">
        <is>
          <t>-</t>
        </is>
      </c>
      <c r="J175" s="13" t="inlineStr">
        <is>
          <t>-920</t>
        </is>
      </c>
      <c r="K175" s="6" t="inlineStr">
        <is>
          <t>-</t>
        </is>
      </c>
      <c r="L175" s="11" t="n">
        <v>51</v>
      </c>
      <c r="M175" s="11" t="n">
        <v>20</v>
      </c>
      <c r="N175" s="11" t="n">
        <v>40</v>
      </c>
      <c r="O175" s="11" t="n">
        <v>20</v>
      </c>
      <c r="P175" s="11" t="n">
        <v>50</v>
      </c>
      <c r="Q175" s="11" t="n">
        <v>50</v>
      </c>
      <c r="R175" s="12" t="inlineStr">
        <is>
          <t>VENDER XPEV | Score: 30/100 | Precio: $19.25 → Target: $28.16 (Upside: +46%) | DEBILIDADES: baja calidad operativa (ROE bajo, márgenes débiles); alta volatilidad (beta 1.13, vol 66.1%)</t>
        </is>
      </c>
    </row>
    <row r="176">
      <c r="A176" s="5" t="inlineStr">
        <is>
          <t>XYZ</t>
        </is>
      </c>
      <c r="B176" s="6" t="inlineStr">
        <is>
          <t>Block, Inc.</t>
        </is>
      </c>
      <c r="C176" s="6" t="inlineStr">
        <is>
          <t>Fintech</t>
        </is>
      </c>
      <c r="D176" s="7" t="n">
        <v>66.83</v>
      </c>
      <c r="E176" s="16">
        <f>ROUND(L176*0.105+M176*0.158+N176*0.421+O176*0.053+P176*0.137+Q176*0.126,1)</f>
        <v/>
      </c>
      <c r="F176" s="16" t="inlineStr">
        <is>
          <t>SELL</t>
        </is>
      </c>
      <c r="G176" s="6" t="n">
        <v>20.5</v>
      </c>
      <c r="H176" s="13" t="n">
        <v>23.9</v>
      </c>
      <c r="I176" s="10" t="n">
        <v>-0.4</v>
      </c>
      <c r="J176" s="10" t="inlineStr">
        <is>
          <t>1470</t>
        </is>
      </c>
      <c r="K176" s="10" t="inlineStr">
        <is>
          <t>60.0</t>
        </is>
      </c>
      <c r="L176" s="11" t="n">
        <v>31</v>
      </c>
      <c r="M176" s="11" t="n">
        <v>46</v>
      </c>
      <c r="N176" s="11" t="n">
        <v>12</v>
      </c>
      <c r="O176" s="11" t="n">
        <v>9</v>
      </c>
      <c r="P176" s="11" t="n">
        <v>50</v>
      </c>
      <c r="Q176" s="11" t="n">
        <v>50</v>
      </c>
      <c r="R176" s="12" t="inlineStr">
        <is>
          <t>VENDER XYZ | Score: 29/100 | Precio: $66.83 → Target: $84.45 (Upside: +26%) | DEBILIDADES: valoración cara (P/E 20.5x, EV/EBITDA 23.9x); momentum débil (retorno 12M: -24.6%); alta volatilidad (beta 2.67, vol 53.4%)</t>
        </is>
      </c>
    </row>
    <row r="177">
      <c r="A177" s="5" t="inlineStr">
        <is>
          <t>NIO</t>
        </is>
      </c>
      <c r="B177" s="6" t="inlineStr">
        <is>
          <t>NIO Inc.</t>
        </is>
      </c>
      <c r="C177" s="6" t="inlineStr">
        <is>
          <t>China Tech</t>
        </is>
      </c>
      <c r="D177" s="7" t="n">
        <v>4.64</v>
      </c>
      <c r="E177" s="16">
        <f>ROUND(L177*0.105+M177*0.158+N177*0.421+O177*0.053+P177*0.137+Q177*0.126,1)</f>
        <v/>
      </c>
      <c r="F177" s="16" t="inlineStr">
        <is>
          <t>SELL</t>
        </is>
      </c>
      <c r="G177" s="10" t="n">
        <v>-9.4</v>
      </c>
      <c r="H177" s="10" t="n">
        <v>-1.8</v>
      </c>
      <c r="I177" s="6" t="inlineStr">
        <is>
          <t>-</t>
        </is>
      </c>
      <c r="J177" s="13" t="inlineStr">
        <is>
          <t>-16000</t>
        </is>
      </c>
      <c r="K177" s="6" t="inlineStr">
        <is>
          <t>-</t>
        </is>
      </c>
      <c r="L177" s="11" t="n">
        <v>80</v>
      </c>
      <c r="M177" s="11" t="n">
        <v>18</v>
      </c>
      <c r="N177" s="11" t="n">
        <v>29</v>
      </c>
      <c r="O177" s="11" t="n">
        <v>23</v>
      </c>
      <c r="P177" s="11" t="n">
        <v>50</v>
      </c>
      <c r="Q177" s="11" t="n">
        <v>50</v>
      </c>
      <c r="R177" s="12" t="inlineStr">
        <is>
          <t>VENDER NIO | Score: 28/100 | Precio: $4.64 → Target: $6.65 (Upside: +43%) | FORTALEZAS: valoración atractiva (P/E -9.4x, EV/EBITDA -1.8x) | DEBILIDADES: baja calidad operativa (ROE bajo, márgenes débiles); momentum débil (retorno 12M: 8.2%); alta volatilidad (beta 1.06, vol 63.8%)</t>
        </is>
      </c>
    </row>
    <row r="178">
      <c r="A178" s="5" t="inlineStr">
        <is>
          <t>DDOG</t>
        </is>
      </c>
      <c r="B178" s="6" t="inlineStr">
        <is>
          <t>Datadog, Inc.</t>
        </is>
      </c>
      <c r="C178" s="6" t="inlineStr">
        <is>
          <t>IA Software</t>
        </is>
      </c>
      <c r="D178" s="7" t="n">
        <v>130.13</v>
      </c>
      <c r="E178" s="16">
        <f>ROUND(L178*0.105+M178*0.158+N178*0.421+O178*0.053+P178*0.137+Q178*0.126,1)</f>
        <v/>
      </c>
      <c r="F178" s="16" t="inlineStr">
        <is>
          <t>SELL</t>
        </is>
      </c>
      <c r="G178" s="13" t="n">
        <v>55.7</v>
      </c>
      <c r="H178" s="13" t="n">
        <v>6871</v>
      </c>
      <c r="I178" s="10" t="n">
        <v>-459.6</v>
      </c>
      <c r="J178" s="10" t="inlineStr">
        <is>
          <t>350</t>
        </is>
      </c>
      <c r="K178" s="10" t="inlineStr">
        <is>
          <t>180.0</t>
        </is>
      </c>
      <c r="L178" s="11" t="n">
        <v>15</v>
      </c>
      <c r="M178" s="11" t="n">
        <v>39</v>
      </c>
      <c r="N178" s="11" t="n">
        <v>13</v>
      </c>
      <c r="O178" s="11" t="n">
        <v>22</v>
      </c>
      <c r="P178" s="11" t="n">
        <v>50</v>
      </c>
      <c r="Q178" s="11" t="n">
        <v>50</v>
      </c>
      <c r="R178" s="12" t="inlineStr">
        <is>
          <t>VENDER DDOG | Score: 28/100 | Precio: $130.13 → Target: $198.37 (Upside: +52%) | DEBILIDADES: valoración cara (P/E 55.7x, EV/EBITDA 6871.0x); momentum débil (retorno 12M: -7.7%); alta volatilidad (beta 1.26, vol 50.7%)</t>
        </is>
      </c>
    </row>
    <row r="179">
      <c r="A179" s="5" t="inlineStr">
        <is>
          <t>AI</t>
        </is>
      </c>
      <c r="B179" s="6" t="inlineStr">
        <is>
          <t>C3.ai, Inc.</t>
        </is>
      </c>
      <c r="C179" s="6" t="inlineStr">
        <is>
          <t>IA Software</t>
        </is>
      </c>
      <c r="D179" s="7" t="n">
        <v>12.69</v>
      </c>
      <c r="E179" s="16">
        <f>ROUND(L179*0.105+M179*0.158+N179*0.421+O179*0.053+P179*0.137+Q179*0.126,1)</f>
        <v/>
      </c>
      <c r="F179" s="16" t="inlineStr">
        <is>
          <t>SELL</t>
        </is>
      </c>
      <c r="G179" s="10" t="n">
        <v>-13.3</v>
      </c>
      <c r="H179" s="10" t="n">
        <v>-2.9</v>
      </c>
      <c r="I179" s="6" t="inlineStr">
        <is>
          <t>-</t>
        </is>
      </c>
      <c r="J179" s="13" t="inlineStr">
        <is>
          <t>-4680</t>
        </is>
      </c>
      <c r="K179" s="10" t="inlineStr">
        <is>
          <t>170.0</t>
        </is>
      </c>
      <c r="L179" s="11" t="n">
        <v>76</v>
      </c>
      <c r="M179" s="11" t="n">
        <v>18</v>
      </c>
      <c r="N179" s="11" t="n">
        <v>7</v>
      </c>
      <c r="O179" s="11" t="n">
        <v>6</v>
      </c>
      <c r="P179" s="11" t="n">
        <v>50</v>
      </c>
      <c r="Q179" s="11" t="n">
        <v>50</v>
      </c>
      <c r="R179" s="12" t="inlineStr">
        <is>
          <t>VENDER AI | Score: 27/100 | Precio: $12.69 → Target: $14.67 (Upside: +16%) | FORTALEZAS: valoración atractiva (P/E -13.3x, EV/EBITDA -2.9x) | DEBILIDADES: baja calidad operativa (ROE bajo, márgenes débiles); momentum débil (retorno 12M: -61.3%); alta volatilidad (beta 1.96, vol 64.5%)</t>
        </is>
      </c>
    </row>
    <row r="180">
      <c r="A180" s="5" t="inlineStr">
        <is>
          <t>JD</t>
        </is>
      </c>
      <c r="B180" s="6" t="inlineStr">
        <is>
          <t>JD.com, Inc.</t>
        </is>
      </c>
      <c r="C180" s="6" t="inlineStr">
        <is>
          <t>China Tech</t>
        </is>
      </c>
      <c r="D180" s="7" t="n">
        <v>29.84</v>
      </c>
      <c r="E180" s="16">
        <f>ROUND(L180*0.105+M180*0.158+N180*0.421+O180*0.053+P180*0.137+Q180*0.126,1)</f>
        <v/>
      </c>
      <c r="F180" s="16" t="inlineStr">
        <is>
          <t>SELL</t>
        </is>
      </c>
      <c r="G180" s="10" t="n">
        <v>9.6</v>
      </c>
      <c r="H180" s="10" t="n">
        <v>2.7</v>
      </c>
      <c r="I180" s="10" t="n">
        <v>-3.2</v>
      </c>
      <c r="J180" s="10" t="inlineStr">
        <is>
          <t>1170</t>
        </is>
      </c>
      <c r="K180" s="13" t="inlineStr">
        <is>
          <t>-3060.0</t>
        </is>
      </c>
      <c r="L180" s="11" t="n">
        <v>57</v>
      </c>
      <c r="M180" s="11" t="n">
        <v>45</v>
      </c>
      <c r="N180" s="11" t="n">
        <v>14</v>
      </c>
      <c r="O180" s="11" t="n">
        <v>56</v>
      </c>
      <c r="P180" s="11" t="n">
        <v>50</v>
      </c>
      <c r="Q180" s="11" t="n">
        <v>50</v>
      </c>
      <c r="R180" s="12" t="inlineStr">
        <is>
          <t>VENDER JD | Score: 25/100 | Precio: $29.84 → Target: $40.92 (Upside: +37%) | DEBILIDADES: momentum débil (retorno 12M: -24.6%)</t>
        </is>
      </c>
    </row>
    <row r="181">
      <c r="A181" s="5" t="inlineStr">
        <is>
          <t>LI</t>
        </is>
      </c>
      <c r="B181" s="6" t="inlineStr">
        <is>
          <t>Li Auto Inc.</t>
        </is>
      </c>
      <c r="C181" s="6" t="inlineStr">
        <is>
          <t>China Tech</t>
        </is>
      </c>
      <c r="D181" s="7" t="n">
        <v>16.71</v>
      </c>
      <c r="E181" s="16">
        <f>ROUND(L181*0.105+M181*0.158+N181*0.421+O181*0.053+P181*0.137+Q181*0.126,1)</f>
        <v/>
      </c>
      <c r="F181" s="16" t="inlineStr">
        <is>
          <t>SELL</t>
        </is>
      </c>
      <c r="G181" s="6" t="n">
        <v>20.1</v>
      </c>
      <c r="H181" s="10" t="n">
        <v>-6.1</v>
      </c>
      <c r="I181" s="10" t="n">
        <v>-10.5</v>
      </c>
      <c r="J181" s="10" t="inlineStr">
        <is>
          <t>660</t>
        </is>
      </c>
      <c r="K181" s="13" t="inlineStr">
        <is>
          <t>-6510.0</t>
        </is>
      </c>
      <c r="L181" s="11" t="n">
        <v>48</v>
      </c>
      <c r="M181" s="11" t="n">
        <v>40</v>
      </c>
      <c r="N181" s="11" t="n">
        <v>15</v>
      </c>
      <c r="O181" s="11" t="n">
        <v>47</v>
      </c>
      <c r="P181" s="11" t="n">
        <v>50</v>
      </c>
      <c r="Q181" s="11" t="n">
        <v>50</v>
      </c>
      <c r="R181" s="12" t="inlineStr">
        <is>
          <t>VENDER LI | Score: 23/100 | Precio: $16.71 → Target: $23.86 (Upside: +43%) | DEBILIDADES: momentum débil (retorno 12M: -28.0%)</t>
        </is>
      </c>
    </row>
    <row r="184">
      <c r="A184" s="18" t="inlineStr">
        <is>
          <t>LEYENDA DE COLUMNAS:</t>
        </is>
      </c>
    </row>
    <row r="185">
      <c r="A185" s="19" t="inlineStr">
        <is>
          <t>Val (Value)</t>
        </is>
      </c>
      <c r="B185" s="20" t="inlineStr">
        <is>
          <t>Valoracion: P/E bajo, EV/EBITDA bajo = mejor. Score alto = empresa barata.</t>
        </is>
      </c>
    </row>
    <row r="186">
      <c r="A186" s="19" t="inlineStr">
        <is>
          <t>Qual (Quality)</t>
        </is>
      </c>
      <c r="B186" s="20" t="inlineStr">
        <is>
          <t>Calidad: ROE alto, margenes altos, deuda baja = mejor. Score alto = empresa solida.</t>
        </is>
      </c>
    </row>
    <row r="187">
      <c r="A187" s="19" t="inlineStr">
        <is>
          <t>Mom (Momentum)</t>
        </is>
      </c>
      <c r="B187" s="20" t="inlineStr">
        <is>
          <t>Momentum: Precio subiendo vs 12m atras. Score alto = tendencia alcista fuerte.</t>
        </is>
      </c>
    </row>
    <row r="188">
      <c r="A188" s="19" t="inlineStr">
        <is>
          <t>LowVol</t>
        </is>
      </c>
      <c r="B188" s="20" t="inlineStr">
        <is>
          <t>Baja Volatilidad: Beta bajo, volatilidad historica baja. Score alto = menos riesgo.</t>
        </is>
      </c>
    </row>
    <row r="189">
      <c r="A189" s="19" t="inlineStr">
        <is>
          <t>Cong (Congress)</t>
        </is>
      </c>
      <c r="B189" s="20" t="inlineStr">
        <is>
          <t>Trades Congresistas: &gt;50 = compras recientes, &lt;50 = ventas. 50 = sin actividad.</t>
        </is>
      </c>
    </row>
    <row r="190">
      <c r="A190" s="19" t="inlineStr">
        <is>
          <t>Poly (Polymarket)</t>
        </is>
      </c>
      <c r="B190" s="20" t="inlineStr">
        <is>
          <t>Smart Money: Apuestas grandes en eventos que afectan la accion. &gt;50 = bullish.</t>
        </is>
      </c>
    </row>
    <row r="191">
      <c r="A191" s="19" t="inlineStr">
        <is>
          <t>Deuda/EBITDA</t>
        </is>
      </c>
      <c r="B191" s="20" t="inlineStr">
        <is>
          <t>Apalancamiento: &lt;2x = conservador (verde), 2-4x = normal, &gt;4x = alto riesgo (rojo).</t>
        </is>
      </c>
    </row>
  </sheetData>
  <mergeCells count="8">
    <mergeCell ref="B185:J185"/>
    <mergeCell ref="B189:J189"/>
    <mergeCell ref="B186:J186"/>
    <mergeCell ref="B190:J190"/>
    <mergeCell ref="B187:J187"/>
    <mergeCell ref="B188:J188"/>
    <mergeCell ref="A1:R1"/>
    <mergeCell ref="B191:J19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12" customWidth="1" min="10" max="10"/>
    <col width="14" customWidth="1" min="11" max="11"/>
    <col width="8" customWidth="1" min="12" max="12"/>
    <col width="10" customWidth="1" min="13" max="13"/>
    <col width="10" customWidth="1" min="14" max="14"/>
    <col width="10" customWidth="1" min="15" max="15"/>
    <col width="8" customWidth="1" min="16" max="16"/>
    <col width="10" customWidth="1" min="17" max="17"/>
  </cols>
  <sheetData>
    <row r="1">
      <c r="A1" s="21" t="inlineStr">
        <is>
          <t>Ticker</t>
        </is>
      </c>
      <c r="B1" s="21" t="inlineStr">
        <is>
          <t>Name</t>
        </is>
      </c>
      <c r="C1" s="21" t="inlineStr">
        <is>
          <t>Sector</t>
        </is>
      </c>
      <c r="D1" s="21" t="inlineStr">
        <is>
          <t>Country</t>
        </is>
      </c>
      <c r="E1" s="21" t="inlineStr">
        <is>
          <t>Price</t>
        </is>
      </c>
      <c r="F1" s="21" t="inlineStr">
        <is>
          <t>Fwd_PE</t>
        </is>
      </c>
      <c r="G1" s="21" t="inlineStr">
        <is>
          <t>EV_EBITDA</t>
        </is>
      </c>
      <c r="H1" s="21" t="inlineStr">
        <is>
          <t>FCF_Yield</t>
        </is>
      </c>
      <c r="I1" s="21" t="inlineStr">
        <is>
          <t>ROIC</t>
        </is>
      </c>
      <c r="J1" s="21" t="inlineStr">
        <is>
          <t>Op_Margin</t>
        </is>
      </c>
      <c r="K1" s="21" t="inlineStr">
        <is>
          <t>Net_Debt_EBITDA</t>
        </is>
      </c>
      <c r="L1" s="21" t="inlineStr">
        <is>
          <t>Beta</t>
        </is>
      </c>
      <c r="M1" s="21" t="inlineStr">
        <is>
          <t>Vol_252d</t>
        </is>
      </c>
      <c r="N1" s="21" t="inlineStr">
        <is>
          <t>Mom_12M</t>
        </is>
      </c>
      <c r="O1" s="21" t="inlineStr">
        <is>
          <t>Target</t>
        </is>
      </c>
      <c r="P1" s="21" t="inlineStr">
        <is>
          <t>Rating</t>
        </is>
      </c>
      <c r="Q1" s="21" t="inlineStr">
        <is>
          <t>Div_Yield</t>
        </is>
      </c>
    </row>
    <row r="2">
      <c r="A2" t="inlineStr">
        <is>
          <t>AU</t>
        </is>
      </c>
      <c r="B2" t="inlineStr">
        <is>
          <t>AngloGold Ashanti PLC</t>
        </is>
      </c>
      <c r="C2" t="inlineStr">
        <is>
          <t>Oro</t>
        </is>
      </c>
      <c r="D2" t="inlineStr">
        <is>
          <t>South Africa</t>
        </is>
      </c>
      <c r="E2" t="n">
        <v>106.26</v>
      </c>
      <c r="F2" t="n">
        <v>12.5</v>
      </c>
      <c r="G2" t="n">
        <v>12.3</v>
      </c>
      <c r="H2" t="n">
        <v>2.9</v>
      </c>
      <c r="I2" t="n">
        <v>31</v>
      </c>
      <c r="J2" t="n">
        <v>42.5</v>
      </c>
      <c r="K2" t="n">
        <v>-0.05</v>
      </c>
      <c r="L2" t="n">
        <v>0.59</v>
      </c>
      <c r="M2" t="n">
        <v>52.3</v>
      </c>
      <c r="N2" t="n">
        <v>295.4</v>
      </c>
      <c r="O2" t="n">
        <v>101.29</v>
      </c>
      <c r="P2" t="n">
        <v>4</v>
      </c>
      <c r="Q2" t="n">
        <v>238</v>
      </c>
    </row>
    <row r="3">
      <c r="A3" t="inlineStr">
        <is>
          <t>NEM</t>
        </is>
      </c>
      <c r="B3" t="inlineStr">
        <is>
          <t>Newmont Corporation</t>
        </is>
      </c>
      <c r="C3" t="inlineStr">
        <is>
          <t>Oro</t>
        </is>
      </c>
      <c r="D3" t="inlineStr">
        <is>
          <t>US</t>
        </is>
      </c>
      <c r="E3" t="n">
        <v>124.31</v>
      </c>
      <c r="F3" t="n">
        <v>15</v>
      </c>
      <c r="G3" t="n">
        <v>11.1</v>
      </c>
      <c r="H3" t="n">
        <v>6.8</v>
      </c>
      <c r="I3" t="n">
        <v>18.3</v>
      </c>
      <c r="J3" t="n">
        <v>46.9</v>
      </c>
      <c r="K3" t="n">
        <v>-0.03</v>
      </c>
      <c r="L3" t="n">
        <v>0.42</v>
      </c>
      <c r="M3" t="n">
        <v>41.2</v>
      </c>
      <c r="N3" t="n">
        <v>200.7</v>
      </c>
      <c r="O3" t="n">
        <v>119.89</v>
      </c>
      <c r="P3" t="n">
        <v>4.3</v>
      </c>
      <c r="Q3" t="n">
        <v>80</v>
      </c>
    </row>
    <row r="4">
      <c r="A4" t="inlineStr">
        <is>
          <t>GILD</t>
        </is>
      </c>
      <c r="B4" t="inlineStr">
        <is>
          <t>Gilead Sciences, Inc.</t>
        </is>
      </c>
      <c r="C4" t="inlineStr">
        <is>
          <t>Biotech</t>
        </is>
      </c>
      <c r="D4" t="inlineStr">
        <is>
          <t>US</t>
        </is>
      </c>
      <c r="E4" t="n">
        <v>135.93</v>
      </c>
      <c r="F4" t="n">
        <v>15.5</v>
      </c>
      <c r="G4" t="n">
        <v>13.1</v>
      </c>
      <c r="H4" t="n">
        <v>4.8</v>
      </c>
      <c r="I4" t="n">
        <v>32.6</v>
      </c>
      <c r="J4" t="n">
        <v>45.2</v>
      </c>
      <c r="K4" t="n">
        <v>1.16</v>
      </c>
      <c r="L4" t="n">
        <v>0.35</v>
      </c>
      <c r="M4" t="n">
        <v>29</v>
      </c>
      <c r="N4" t="n">
        <v>50.1</v>
      </c>
      <c r="O4" t="n">
        <v>134.53</v>
      </c>
      <c r="P4" t="n">
        <v>4.3</v>
      </c>
      <c r="Q4" t="n">
        <v>232</v>
      </c>
    </row>
    <row r="5">
      <c r="A5" t="inlineStr">
        <is>
          <t>GFI</t>
        </is>
      </c>
      <c r="B5" t="inlineStr">
        <is>
          <t>Gold Fields Limited</t>
        </is>
      </c>
      <c r="C5" t="inlineStr">
        <is>
          <t>Oro</t>
        </is>
      </c>
      <c r="D5" t="inlineStr">
        <is>
          <t>South Africa</t>
        </is>
      </c>
      <c r="E5" t="n">
        <v>53.22</v>
      </c>
      <c r="F5" t="n">
        <v>11.1</v>
      </c>
      <c r="G5" t="n">
        <v>13.7</v>
      </c>
      <c r="H5" t="n">
        <v>3.2</v>
      </c>
      <c r="I5" t="n">
        <v>28.2</v>
      </c>
      <c r="J5" t="n">
        <v>46.4</v>
      </c>
      <c r="K5" t="n">
        <v>0.41</v>
      </c>
      <c r="L5" t="n">
        <v>0.63</v>
      </c>
      <c r="M5" t="n">
        <v>53.5</v>
      </c>
      <c r="N5" t="n">
        <v>223.4</v>
      </c>
      <c r="O5" t="n">
        <v>52.16</v>
      </c>
      <c r="P5" t="n">
        <v>3.8</v>
      </c>
      <c r="Q5" t="n">
        <v>148</v>
      </c>
    </row>
    <row r="6">
      <c r="A6" t="inlineStr">
        <is>
          <t>AEM</t>
        </is>
      </c>
      <c r="B6" t="inlineStr">
        <is>
          <t>Agnico Eagle Mines Limite</t>
        </is>
      </c>
      <c r="C6" t="inlineStr">
        <is>
          <t>Oro</t>
        </is>
      </c>
      <c r="D6" t="inlineStr">
        <is>
          <t>Canada</t>
        </is>
      </c>
      <c r="E6" t="n">
        <v>214.54</v>
      </c>
      <c r="F6" t="n">
        <v>18.4</v>
      </c>
      <c r="G6" t="n">
        <v>15.3</v>
      </c>
      <c r="H6" t="n">
        <v>3.3</v>
      </c>
      <c r="I6" t="n">
        <v>12.5</v>
      </c>
      <c r="J6" t="n">
        <v>53.1</v>
      </c>
      <c r="K6" t="n">
        <v>-0.3</v>
      </c>
      <c r="L6" t="n">
        <v>0.63</v>
      </c>
      <c r="M6" t="n">
        <v>37.8</v>
      </c>
      <c r="N6" t="n">
        <v>141.6</v>
      </c>
      <c r="O6" t="n">
        <v>209.55</v>
      </c>
      <c r="P6" t="n">
        <v>4.2</v>
      </c>
      <c r="Q6" t="n">
        <v>75</v>
      </c>
    </row>
    <row r="7">
      <c r="A7" t="inlineStr">
        <is>
          <t>GSK</t>
        </is>
      </c>
      <c r="B7" t="inlineStr">
        <is>
          <t>GSK plc</t>
        </is>
      </c>
      <c r="C7" t="inlineStr">
        <is>
          <t>Pharma</t>
        </is>
      </c>
      <c r="D7" t="inlineStr">
        <is>
          <t>UK</t>
        </is>
      </c>
      <c r="E7" t="n">
        <v>49.15</v>
      </c>
      <c r="F7" t="n">
        <v>10.2</v>
      </c>
      <c r="G7" t="n">
        <v>22.3</v>
      </c>
      <c r="H7" t="n">
        <v>3.8</v>
      </c>
      <c r="I7" t="n">
        <v>33.2</v>
      </c>
      <c r="J7" t="n">
        <v>32.6</v>
      </c>
      <c r="K7" t="n">
        <v>1.52</v>
      </c>
      <c r="L7" t="n">
        <v>0.25</v>
      </c>
      <c r="M7" t="n">
        <v>28.3</v>
      </c>
      <c r="N7" t="n">
        <v>49.6</v>
      </c>
      <c r="O7" t="n">
        <v>51.98</v>
      </c>
      <c r="P7" t="n">
        <v>3.1</v>
      </c>
      <c r="Q7" t="n">
        <v>347</v>
      </c>
    </row>
    <row r="8">
      <c r="A8" t="inlineStr">
        <is>
          <t>NOVN.SW</t>
        </is>
      </c>
      <c r="B8" t="inlineStr">
        <is>
          <t>NOVARTIS N</t>
        </is>
      </c>
      <c r="C8" t="inlineStr">
        <is>
          <t>Pharma</t>
        </is>
      </c>
      <c r="D8" t="inlineStr">
        <is>
          <t>Switzerland</t>
        </is>
      </c>
      <c r="E8" t="n">
        <v>115.64</v>
      </c>
      <c r="F8" t="n">
        <v>16.2</v>
      </c>
      <c r="G8" t="n">
        <v>9.800000000000001</v>
      </c>
      <c r="H8" t="n">
        <v>7.2</v>
      </c>
      <c r="I8" t="n">
        <v>26.1</v>
      </c>
      <c r="J8" t="n">
        <v>31.9</v>
      </c>
      <c r="K8" t="n">
        <v>0.9</v>
      </c>
      <c r="L8" t="n">
        <v>0.45</v>
      </c>
      <c r="M8" t="n">
        <v>20.7</v>
      </c>
      <c r="N8" t="n">
        <v>32.7</v>
      </c>
      <c r="O8" t="n">
        <v>109.83</v>
      </c>
      <c r="P8" t="n">
        <v>3.4</v>
      </c>
      <c r="Q8" t="n">
        <v>303</v>
      </c>
    </row>
    <row r="9">
      <c r="A9" t="inlineStr">
        <is>
          <t>ROG.SW</t>
        </is>
      </c>
      <c r="B9" t="inlineStr">
        <is>
          <t>ROCHE GS</t>
        </is>
      </c>
      <c r="C9" t="inlineStr">
        <is>
          <t>Pharma</t>
        </is>
      </c>
      <c r="D9" t="inlineStr">
        <is>
          <t>Switzerland</t>
        </is>
      </c>
      <c r="E9" t="n">
        <v>348.1</v>
      </c>
      <c r="F9" t="n">
        <v>16.9</v>
      </c>
      <c r="G9" t="n">
        <v>13</v>
      </c>
      <c r="H9" t="n">
        <v>4.2</v>
      </c>
      <c r="I9" t="n">
        <v>25.1</v>
      </c>
      <c r="J9" t="n">
        <v>36.1</v>
      </c>
      <c r="K9" t="n">
        <v>0.96</v>
      </c>
      <c r="L9" t="n">
        <v>0.17</v>
      </c>
      <c r="M9" t="n">
        <v>24.5</v>
      </c>
      <c r="N9" t="n">
        <v>31.1</v>
      </c>
      <c r="O9" t="n">
        <v>342.27</v>
      </c>
      <c r="P9" t="n">
        <v>3.5</v>
      </c>
      <c r="Q9" t="n">
        <v>279</v>
      </c>
    </row>
    <row r="10">
      <c r="A10" t="inlineStr">
        <is>
          <t>ABBV</t>
        </is>
      </c>
      <c r="B10" t="inlineStr">
        <is>
          <t>AbbVie Inc.</t>
        </is>
      </c>
      <c r="C10" t="inlineStr">
        <is>
          <t>Pharma</t>
        </is>
      </c>
      <c r="D10" t="inlineStr">
        <is>
          <t>US</t>
        </is>
      </c>
      <c r="E10" t="n">
        <v>219.26</v>
      </c>
      <c r="F10" t="n">
        <v>15.4</v>
      </c>
      <c r="G10" t="n">
        <v>15.3</v>
      </c>
      <c r="H10" t="n">
        <v>5.4</v>
      </c>
      <c r="I10" t="n">
        <v>110.4</v>
      </c>
      <c r="J10" t="n">
        <v>35.5</v>
      </c>
      <c r="K10" t="n">
        <v>2.14</v>
      </c>
      <c r="L10" t="n">
        <v>0.35</v>
      </c>
      <c r="M10" t="n">
        <v>26.7</v>
      </c>
      <c r="N10" t="n">
        <v>33.1</v>
      </c>
      <c r="O10" t="n">
        <v>245.22</v>
      </c>
      <c r="P10" t="n">
        <v>4.1</v>
      </c>
      <c r="Q10" t="n">
        <v>303</v>
      </c>
    </row>
    <row r="11">
      <c r="A11" t="inlineStr">
        <is>
          <t>JNJ</t>
        </is>
      </c>
      <c r="B11" t="inlineStr">
        <is>
          <t>Johnson &amp; Johnson</t>
        </is>
      </c>
      <c r="C11" t="inlineStr">
        <is>
          <t>Defensivo</t>
        </is>
      </c>
      <c r="D11" t="inlineStr">
        <is>
          <t>US</t>
        </is>
      </c>
      <c r="E11" t="n">
        <v>220.14</v>
      </c>
      <c r="F11" t="n">
        <v>17.6</v>
      </c>
      <c r="G11" t="n">
        <v>16.9</v>
      </c>
      <c r="I11" t="n">
        <v>28.4</v>
      </c>
      <c r="J11" t="n">
        <v>23</v>
      </c>
      <c r="K11" t="n">
        <v>0.82</v>
      </c>
      <c r="L11" t="n">
        <v>0.33</v>
      </c>
      <c r="M11" t="n">
        <v>19.5</v>
      </c>
      <c r="N11" t="n">
        <v>54.5</v>
      </c>
      <c r="O11" t="n">
        <v>224.09</v>
      </c>
      <c r="P11" t="n">
        <v>3.8</v>
      </c>
      <c r="Q11" t="n">
        <v>236</v>
      </c>
    </row>
    <row r="12">
      <c r="A12" t="inlineStr">
        <is>
          <t>SCCO</t>
        </is>
      </c>
      <c r="B12" t="inlineStr">
        <is>
          <t>Southern Copper Corporati</t>
        </is>
      </c>
      <c r="C12" t="inlineStr">
        <is>
          <t>Cobre Litio</t>
        </is>
      </c>
      <c r="D12" t="inlineStr">
        <is>
          <t>Peru</t>
        </is>
      </c>
      <c r="E12" t="n">
        <v>184.3</v>
      </c>
      <c r="F12" t="n">
        <v>30.2</v>
      </c>
      <c r="G12" t="n">
        <v>21.8</v>
      </c>
      <c r="H12" t="n">
        <v>2.1</v>
      </c>
      <c r="I12" t="n">
        <v>31.4</v>
      </c>
      <c r="J12" t="n">
        <v>52.4</v>
      </c>
      <c r="K12" t="n">
        <v>0.41</v>
      </c>
      <c r="L12" t="n">
        <v>1.06</v>
      </c>
      <c r="M12" t="n">
        <v>40.8</v>
      </c>
      <c r="N12" t="n">
        <v>102.1</v>
      </c>
      <c r="O12" t="n">
        <v>138.45</v>
      </c>
      <c r="P12" t="n">
        <v>2.5</v>
      </c>
      <c r="Q12" t="n">
        <v>195</v>
      </c>
    </row>
    <row r="13">
      <c r="A13" t="inlineStr">
        <is>
          <t>VALE</t>
        </is>
      </c>
      <c r="B13" t="inlineStr">
        <is>
          <t>VALE S.A.</t>
        </is>
      </c>
      <c r="C13" t="inlineStr">
        <is>
          <t>Cobre Litio</t>
        </is>
      </c>
      <c r="D13" t="inlineStr">
        <is>
          <t>Brazil</t>
        </is>
      </c>
      <c r="E13" t="n">
        <v>16.18</v>
      </c>
      <c r="F13" t="n">
        <v>7.5</v>
      </c>
      <c r="G13" t="n">
        <v>2.1</v>
      </c>
      <c r="H13" t="n">
        <v>-1.4</v>
      </c>
      <c r="I13" t="n">
        <v>10.6</v>
      </c>
      <c r="J13" t="n">
        <v>32.3</v>
      </c>
      <c r="K13" t="n">
        <v>1.07</v>
      </c>
      <c r="L13" t="n">
        <v>0.87</v>
      </c>
      <c r="M13" t="n">
        <v>29.2</v>
      </c>
      <c r="N13" t="n">
        <v>93.59999999999999</v>
      </c>
      <c r="O13" t="n">
        <v>14.7</v>
      </c>
      <c r="P13" t="n">
        <v>4</v>
      </c>
      <c r="Q13" t="n">
        <v>772</v>
      </c>
    </row>
    <row r="14">
      <c r="A14" t="inlineStr">
        <is>
          <t>AZN</t>
        </is>
      </c>
      <c r="B14" t="inlineStr">
        <is>
          <t>Astrazeneca PLC</t>
        </is>
      </c>
      <c r="C14" t="inlineStr">
        <is>
          <t>Pharma</t>
        </is>
      </c>
      <c r="D14" t="inlineStr">
        <is>
          <t>UK</t>
        </is>
      </c>
      <c r="E14" t="n">
        <v>92.95</v>
      </c>
      <c r="F14" t="n">
        <v>18.2</v>
      </c>
      <c r="G14" t="n">
        <v>8.300000000000001</v>
      </c>
      <c r="H14" t="n">
        <v>3.5</v>
      </c>
      <c r="I14" t="n">
        <v>17.3</v>
      </c>
      <c r="J14" t="n">
        <v>24.1</v>
      </c>
      <c r="K14" t="n">
        <v>1.2</v>
      </c>
      <c r="L14" t="n">
        <v>0.19</v>
      </c>
      <c r="M14" t="n">
        <v>26.2</v>
      </c>
      <c r="N14" t="n">
        <v>37.5</v>
      </c>
      <c r="O14" t="n">
        <v>99.05</v>
      </c>
      <c r="P14" t="n">
        <v>4.6</v>
      </c>
      <c r="Q14" t="n">
        <v>168</v>
      </c>
    </row>
    <row r="15">
      <c r="A15" t="inlineStr">
        <is>
          <t>WPM</t>
        </is>
      </c>
      <c r="B15" t="inlineStr">
        <is>
          <t>Wheaton Precious Metals C</t>
        </is>
      </c>
      <c r="C15" t="inlineStr">
        <is>
          <t>Oro</t>
        </is>
      </c>
      <c r="D15" t="inlineStr">
        <is>
          <t>Canada</t>
        </is>
      </c>
      <c r="E15" t="n">
        <v>146.16</v>
      </c>
      <c r="F15" t="n">
        <v>38</v>
      </c>
      <c r="G15" t="n">
        <v>44.6</v>
      </c>
      <c r="H15" t="n">
        <v>0.6</v>
      </c>
      <c r="I15" t="n">
        <v>10.4</v>
      </c>
      <c r="J15" t="n">
        <v>66.5</v>
      </c>
      <c r="K15" t="n">
        <v>-0.79</v>
      </c>
      <c r="L15" t="n">
        <v>0.91</v>
      </c>
      <c r="M15" t="n">
        <v>36.5</v>
      </c>
      <c r="N15" t="n">
        <v>144.6</v>
      </c>
      <c r="O15" t="n">
        <v>153.22</v>
      </c>
      <c r="P15" t="n">
        <v>4.6</v>
      </c>
      <c r="Q15" t="n">
        <v>45</v>
      </c>
    </row>
    <row r="16">
      <c r="A16" t="inlineStr">
        <is>
          <t>RIO</t>
        </is>
      </c>
      <c r="B16" t="inlineStr">
        <is>
          <t>Rio Tinto Plc</t>
        </is>
      </c>
      <c r="C16" t="inlineStr">
        <is>
          <t>Cobre Litio</t>
        </is>
      </c>
      <c r="D16" t="inlineStr">
        <is>
          <t>Australia</t>
        </is>
      </c>
      <c r="E16" t="n">
        <v>90.43000000000001</v>
      </c>
      <c r="F16" t="n">
        <v>12.2</v>
      </c>
      <c r="G16" t="n">
        <v>9.1</v>
      </c>
      <c r="H16" t="n">
        <v>2.4</v>
      </c>
      <c r="I16" t="n">
        <v>13.7</v>
      </c>
      <c r="J16" t="n">
        <v>25.1</v>
      </c>
      <c r="K16" t="n">
        <v>0.79</v>
      </c>
      <c r="L16" t="n">
        <v>0.58</v>
      </c>
      <c r="M16" t="n">
        <v>25.2</v>
      </c>
      <c r="N16" t="n">
        <v>54.6</v>
      </c>
      <c r="O16" t="n">
        <v>87.12</v>
      </c>
      <c r="P16" t="n">
        <v>4.1</v>
      </c>
      <c r="Q16" t="n">
        <v>412</v>
      </c>
    </row>
    <row r="17">
      <c r="A17" t="inlineStr">
        <is>
          <t>MRK</t>
        </is>
      </c>
      <c r="B17" t="inlineStr">
        <is>
          <t>Merck &amp; Company, Inc.</t>
        </is>
      </c>
      <c r="C17" t="inlineStr">
        <is>
          <t>Pharma</t>
        </is>
      </c>
      <c r="D17" t="inlineStr">
        <is>
          <t>US</t>
        </is>
      </c>
      <c r="E17" t="n">
        <v>108.18</v>
      </c>
      <c r="F17" t="n">
        <v>17.5</v>
      </c>
      <c r="G17" t="n">
        <v>9.300000000000001</v>
      </c>
      <c r="H17" t="n">
        <v>5.4</v>
      </c>
      <c r="I17" t="n">
        <v>31.6</v>
      </c>
      <c r="J17" t="n">
        <v>40.8</v>
      </c>
      <c r="K17" t="n">
        <v>0.73</v>
      </c>
      <c r="L17" t="n">
        <v>0.3</v>
      </c>
      <c r="M17" t="n">
        <v>30.4</v>
      </c>
      <c r="N17" t="n">
        <v>17.5</v>
      </c>
      <c r="O17" t="n">
        <v>115.33</v>
      </c>
      <c r="P17" t="n">
        <v>4.1</v>
      </c>
      <c r="Q17" t="n">
        <v>314</v>
      </c>
    </row>
    <row r="18">
      <c r="A18" t="inlineStr">
        <is>
          <t>RNMBY</t>
        </is>
      </c>
      <c r="B18" t="inlineStr">
        <is>
          <t>Rheinmetall AG</t>
        </is>
      </c>
      <c r="C18" t="inlineStr">
        <is>
          <t>Defensa</t>
        </is>
      </c>
      <c r="D18" t="inlineStr">
        <is>
          <t>Germany</t>
        </is>
      </c>
      <c r="E18" t="n">
        <v>433.47</v>
      </c>
      <c r="F18" t="n">
        <v>45.5</v>
      </c>
      <c r="G18" t="n">
        <v>11.5</v>
      </c>
      <c r="H18" t="n">
        <v>-0</v>
      </c>
      <c r="I18" t="n">
        <v>17.9</v>
      </c>
      <c r="J18" t="n">
        <v>12.2</v>
      </c>
      <c r="K18" t="n">
        <v>0.98</v>
      </c>
      <c r="L18" t="n">
        <v>0.36</v>
      </c>
      <c r="M18" t="n">
        <v>54</v>
      </c>
      <c r="N18" t="n">
        <v>184.1</v>
      </c>
      <c r="P18" t="n">
        <v>3</v>
      </c>
      <c r="Q18" t="n">
        <v>42</v>
      </c>
    </row>
    <row r="19">
      <c r="A19" t="inlineStr">
        <is>
          <t>WBD</t>
        </is>
      </c>
      <c r="B19" t="inlineStr">
        <is>
          <t>Warner Bros. Discovery, I</t>
        </is>
      </c>
      <c r="C19" t="inlineStr">
        <is>
          <t>Streaming Media</t>
        </is>
      </c>
      <c r="D19" t="inlineStr">
        <is>
          <t>US</t>
        </is>
      </c>
      <c r="E19" t="n">
        <v>28.58</v>
      </c>
      <c r="F19" t="n">
        <v>-146.8</v>
      </c>
      <c r="G19" t="n">
        <v>13.1</v>
      </c>
      <c r="H19" t="n">
        <v>24.3</v>
      </c>
      <c r="I19" t="n">
        <v>0.8</v>
      </c>
      <c r="J19" t="n">
        <v>8.699999999999999</v>
      </c>
      <c r="K19" t="n">
        <v>3.76</v>
      </c>
      <c r="L19" t="n">
        <v>1.57</v>
      </c>
      <c r="M19" t="n">
        <v>60.9</v>
      </c>
      <c r="N19" t="n">
        <v>178.8</v>
      </c>
      <c r="O19" t="n">
        <v>27.78</v>
      </c>
      <c r="P19" t="n">
        <v>3.6</v>
      </c>
      <c r="Q19" t="n">
        <v>0</v>
      </c>
    </row>
    <row r="20">
      <c r="A20" t="inlineStr">
        <is>
          <t>FNV</t>
        </is>
      </c>
      <c r="B20" t="inlineStr">
        <is>
          <t>Franco-Nevada Corporation</t>
        </is>
      </c>
      <c r="C20" t="inlineStr">
        <is>
          <t>Oro</t>
        </is>
      </c>
      <c r="D20" t="inlineStr">
        <is>
          <t>Canada</t>
        </is>
      </c>
      <c r="E20" t="n">
        <v>255.75</v>
      </c>
      <c r="F20" t="n">
        <v>33.8</v>
      </c>
      <c r="G20" t="n">
        <v>35.3</v>
      </c>
      <c r="H20" t="n">
        <v>-2.3</v>
      </c>
      <c r="I20" t="n">
        <v>11.3</v>
      </c>
      <c r="J20" t="n">
        <v>70</v>
      </c>
      <c r="K20" t="n">
        <v>-0.2</v>
      </c>
      <c r="L20" t="n">
        <v>0.78</v>
      </c>
      <c r="M20" t="n">
        <v>30.6</v>
      </c>
      <c r="N20" t="n">
        <v>97.7</v>
      </c>
      <c r="O20" t="n">
        <v>250</v>
      </c>
      <c r="P20" t="n">
        <v>3.9</v>
      </c>
      <c r="Q20" t="n">
        <v>59</v>
      </c>
    </row>
    <row r="21">
      <c r="A21" t="inlineStr">
        <is>
          <t>BHP</t>
        </is>
      </c>
      <c r="B21" t="inlineStr">
        <is>
          <t>BHP Group Limited</t>
        </is>
      </c>
      <c r="C21" t="inlineStr">
        <is>
          <t>Cobre Litio</t>
        </is>
      </c>
      <c r="D21" t="inlineStr">
        <is>
          <t>Australia</t>
        </is>
      </c>
      <c r="E21" t="n">
        <v>67.52</v>
      </c>
      <c r="F21" t="n">
        <v>15.5</v>
      </c>
      <c r="G21" t="n">
        <v>15.4</v>
      </c>
      <c r="H21" t="n">
        <v>5.5</v>
      </c>
      <c r="I21" t="n">
        <v>17.6</v>
      </c>
      <c r="J21" t="n">
        <v>37.7</v>
      </c>
      <c r="K21" t="n">
        <v>0.58</v>
      </c>
      <c r="L21" t="n">
        <v>0.66</v>
      </c>
      <c r="M21" t="n">
        <v>28.9</v>
      </c>
      <c r="N21" t="n">
        <v>38.1</v>
      </c>
      <c r="O21" t="n">
        <v>57</v>
      </c>
      <c r="P21" t="n">
        <v>3</v>
      </c>
      <c r="Q21" t="n">
        <v>326</v>
      </c>
    </row>
    <row r="22">
      <c r="A22" t="inlineStr">
        <is>
          <t>SAN</t>
        </is>
      </c>
      <c r="B22" t="inlineStr">
        <is>
          <t>Banco Santander, S.A. Spo</t>
        </is>
      </c>
      <c r="C22" t="inlineStr">
        <is>
          <t>Europa Financieras</t>
        </is>
      </c>
      <c r="D22" t="inlineStr">
        <is>
          <t>Spain</t>
        </is>
      </c>
      <c r="E22" t="n">
        <v>12.4</v>
      </c>
      <c r="F22" t="n">
        <v>11.6</v>
      </c>
      <c r="I22" t="n">
        <v>11</v>
      </c>
      <c r="J22" t="n">
        <v>39.3</v>
      </c>
      <c r="K22" t="n">
        <v>-47460024320</v>
      </c>
      <c r="L22" t="n">
        <v>0.97</v>
      </c>
      <c r="M22" t="n">
        <v>32.5</v>
      </c>
      <c r="N22" t="n">
        <v>148.3</v>
      </c>
      <c r="O22" t="n">
        <v>10.73</v>
      </c>
      <c r="P22" t="n">
        <v>2.5</v>
      </c>
      <c r="Q22" t="n">
        <v>207</v>
      </c>
    </row>
    <row r="23">
      <c r="A23" t="inlineStr">
        <is>
          <t>EC</t>
        </is>
      </c>
      <c r="B23" t="inlineStr">
        <is>
          <t>Ecopetrol S.A.</t>
        </is>
      </c>
      <c r="C23" t="inlineStr">
        <is>
          <t>Energia Oil</t>
        </is>
      </c>
      <c r="D23" t="inlineStr">
        <is>
          <t>Colombia</t>
        </is>
      </c>
      <c r="E23" t="n">
        <v>12.5</v>
      </c>
      <c r="F23" t="n">
        <v>9.800000000000001</v>
      </c>
      <c r="H23" t="n">
        <v>38314.7</v>
      </c>
      <c r="I23" t="n">
        <v>11.7</v>
      </c>
      <c r="L23" t="n">
        <v>0.13</v>
      </c>
      <c r="M23" t="n">
        <v>37.2</v>
      </c>
      <c r="N23" t="n">
        <v>64.3</v>
      </c>
      <c r="O23" t="n">
        <v>9.93</v>
      </c>
      <c r="P23" t="n">
        <v>2.9</v>
      </c>
      <c r="Q23" t="n">
        <v>1913</v>
      </c>
    </row>
    <row r="24">
      <c r="A24" t="inlineStr">
        <is>
          <t>BIIB</t>
        </is>
      </c>
      <c r="B24" t="inlineStr">
        <is>
          <t>Biogen Inc.</t>
        </is>
      </c>
      <c r="C24" t="inlineStr">
        <is>
          <t>Biotech</t>
        </is>
      </c>
      <c r="D24" t="inlineStr">
        <is>
          <t>US</t>
        </is>
      </c>
      <c r="E24" t="n">
        <v>171.59</v>
      </c>
      <c r="F24" t="n">
        <v>11.3</v>
      </c>
      <c r="G24" t="n">
        <v>8.199999999999999</v>
      </c>
      <c r="H24" t="n">
        <v>8.5</v>
      </c>
      <c r="I24" t="n">
        <v>7.4</v>
      </c>
      <c r="J24" t="n">
        <v>30.7</v>
      </c>
      <c r="K24" t="n">
        <v>0.77</v>
      </c>
      <c r="L24" t="n">
        <v>0.13</v>
      </c>
      <c r="M24" t="n">
        <v>33.3</v>
      </c>
      <c r="N24" t="n">
        <v>17.4</v>
      </c>
      <c r="O24" t="n">
        <v>192.14</v>
      </c>
      <c r="P24" t="n">
        <v>3.8</v>
      </c>
      <c r="Q24" t="n">
        <v>0</v>
      </c>
    </row>
    <row r="25">
      <c r="A25" t="inlineStr">
        <is>
          <t>LLY</t>
        </is>
      </c>
      <c r="B25" t="inlineStr">
        <is>
          <t>Eli Lilly and Company</t>
        </is>
      </c>
      <c r="C25" t="inlineStr">
        <is>
          <t>Pharma</t>
        </is>
      </c>
      <c r="D25" t="inlineStr">
        <is>
          <t>US</t>
        </is>
      </c>
      <c r="E25" t="n">
        <v>1064.29</v>
      </c>
      <c r="F25" t="n">
        <v>32.5</v>
      </c>
      <c r="G25" t="n">
        <v>34.3</v>
      </c>
      <c r="H25" t="n">
        <v>0.1</v>
      </c>
      <c r="I25" t="n">
        <v>77.2</v>
      </c>
      <c r="J25" t="n">
        <v>48.3</v>
      </c>
      <c r="K25" t="n">
        <v>1.14</v>
      </c>
      <c r="L25" t="n">
        <v>0.35</v>
      </c>
      <c r="M25" t="n">
        <v>40.2</v>
      </c>
      <c r="N25" t="n">
        <v>36.5</v>
      </c>
      <c r="O25" t="n">
        <v>1110.71</v>
      </c>
      <c r="P25" t="n">
        <v>4.3</v>
      </c>
      <c r="Q25" t="n">
        <v>59</v>
      </c>
    </row>
    <row r="26">
      <c r="A26" t="inlineStr">
        <is>
          <t>REGN</t>
        </is>
      </c>
      <c r="B26" t="inlineStr">
        <is>
          <t>Regeneron Pharmaceuticals</t>
        </is>
      </c>
      <c r="C26" t="inlineStr">
        <is>
          <t>Biotech</t>
        </is>
      </c>
      <c r="D26" t="inlineStr">
        <is>
          <t>US</t>
        </is>
      </c>
      <c r="E26" t="n">
        <v>753.55</v>
      </c>
      <c r="F26" t="n">
        <v>16.8</v>
      </c>
      <c r="G26" t="n">
        <v>16.5</v>
      </c>
      <c r="H26" t="n">
        <v>4.4</v>
      </c>
      <c r="I26" t="n">
        <v>12.2</v>
      </c>
      <c r="J26" t="n">
        <v>29.6</v>
      </c>
      <c r="K26" t="n">
        <v>-1.32</v>
      </c>
      <c r="L26" t="n">
        <v>0.39</v>
      </c>
      <c r="M26" t="n">
        <v>41.2</v>
      </c>
      <c r="N26" t="n">
        <v>12.1</v>
      </c>
      <c r="O26" t="n">
        <v>830.04</v>
      </c>
      <c r="P26" t="n">
        <v>4.3</v>
      </c>
      <c r="Q26" t="n">
        <v>47</v>
      </c>
    </row>
    <row r="27">
      <c r="A27" t="inlineStr">
        <is>
          <t>LAC</t>
        </is>
      </c>
      <c r="B27" t="inlineStr">
        <is>
          <t>Lithium Americas Corp.</t>
        </is>
      </c>
      <c r="C27" t="inlineStr">
        <is>
          <t>Cobre Litio</t>
        </is>
      </c>
      <c r="D27" t="inlineStr">
        <is>
          <t>Canada</t>
        </is>
      </c>
      <c r="E27" t="n">
        <v>6.44</v>
      </c>
      <c r="F27" t="n">
        <v>-17.2</v>
      </c>
      <c r="G27" t="n">
        <v>-70.5</v>
      </c>
      <c r="H27" t="n">
        <v>-27</v>
      </c>
      <c r="I27" t="n">
        <v>-25.6</v>
      </c>
      <c r="L27" t="n">
        <v>3.52</v>
      </c>
      <c r="M27" t="n">
        <v>129</v>
      </c>
      <c r="N27" t="n">
        <v>104.4</v>
      </c>
      <c r="O27" t="n">
        <v>6.39</v>
      </c>
      <c r="P27" t="n">
        <v>3.5</v>
      </c>
      <c r="Q27" t="n">
        <v>0</v>
      </c>
    </row>
    <row r="28">
      <c r="A28" t="inlineStr">
        <is>
          <t>HSBC</t>
        </is>
      </c>
      <c r="B28" t="inlineStr">
        <is>
          <t>HSBC Holdings, plc.</t>
        </is>
      </c>
      <c r="C28" t="inlineStr">
        <is>
          <t>Europa Financieras</t>
        </is>
      </c>
      <c r="D28" t="inlineStr">
        <is>
          <t>UK</t>
        </is>
      </c>
      <c r="E28" t="n">
        <v>83.94</v>
      </c>
      <c r="F28" t="n">
        <v>10.1</v>
      </c>
      <c r="I28" t="n">
        <v>7.4</v>
      </c>
      <c r="J28" t="n">
        <v>40</v>
      </c>
      <c r="K28" t="n">
        <v>-374343008256</v>
      </c>
      <c r="L28" t="n">
        <v>0.43</v>
      </c>
      <c r="M28" t="n">
        <v>25.1</v>
      </c>
      <c r="N28" t="n">
        <v>72.8</v>
      </c>
      <c r="O28" t="n">
        <v>85.44</v>
      </c>
      <c r="P28" t="n">
        <v>3.5</v>
      </c>
      <c r="Q28" t="n">
        <v>238</v>
      </c>
    </row>
    <row r="29">
      <c r="A29" t="inlineStr">
        <is>
          <t>ITUB</t>
        </is>
      </c>
      <c r="B29" t="inlineStr">
        <is>
          <t>Itau Unibanco Banco Holdi</t>
        </is>
      </c>
      <c r="C29" t="inlineStr">
        <is>
          <t>Latam</t>
        </is>
      </c>
      <c r="D29" t="inlineStr">
        <is>
          <t>Brazil</t>
        </is>
      </c>
      <c r="E29" t="n">
        <v>8.289999999999999</v>
      </c>
      <c r="F29" t="n">
        <v>10.1</v>
      </c>
      <c r="I29" t="n">
        <v>16.8</v>
      </c>
      <c r="J29" t="n">
        <v>38.5</v>
      </c>
      <c r="K29" t="n">
        <v>578432008192</v>
      </c>
      <c r="L29" t="n">
        <v>0.07000000000000001</v>
      </c>
      <c r="M29" t="n">
        <v>27.6</v>
      </c>
      <c r="N29" t="n">
        <v>94.90000000000001</v>
      </c>
      <c r="O29" t="n">
        <v>7.65</v>
      </c>
      <c r="P29" t="n">
        <v>4.1</v>
      </c>
      <c r="Q29" t="n">
        <v>46</v>
      </c>
    </row>
    <row r="30">
      <c r="A30" t="inlineStr">
        <is>
          <t>SQM</t>
        </is>
      </c>
      <c r="B30" t="inlineStr">
        <is>
          <t>Sociedad Quimica y Minera</t>
        </is>
      </c>
      <c r="C30" t="inlineStr">
        <is>
          <t>Cobre Litio</t>
        </is>
      </c>
      <c r="D30" t="inlineStr">
        <is>
          <t>Chile</t>
        </is>
      </c>
      <c r="E30" t="n">
        <v>85.43000000000001</v>
      </c>
      <c r="F30" t="n">
        <v>21.7</v>
      </c>
      <c r="G30" t="n">
        <v>20.7</v>
      </c>
      <c r="H30" t="n">
        <v>-0.1</v>
      </c>
      <c r="I30" t="n">
        <v>8</v>
      </c>
      <c r="J30" t="n">
        <v>24.4</v>
      </c>
      <c r="K30" t="n">
        <v>1.81</v>
      </c>
      <c r="L30" t="n">
        <v>1.01</v>
      </c>
      <c r="M30" t="n">
        <v>48.7</v>
      </c>
      <c r="N30" t="n">
        <v>117.9</v>
      </c>
      <c r="O30" t="n">
        <v>74</v>
      </c>
      <c r="P30" t="n">
        <v>3.6</v>
      </c>
      <c r="Q30" t="n">
        <v>0</v>
      </c>
    </row>
    <row r="31">
      <c r="A31" t="inlineStr">
        <is>
          <t>BA.L</t>
        </is>
      </c>
      <c r="B31" t="inlineStr">
        <is>
          <t>BAE SYSTEMS PLC ORD 2.5P</t>
        </is>
      </c>
      <c r="C31" t="inlineStr">
        <is>
          <t>Defensa</t>
        </is>
      </c>
      <c r="D31" t="inlineStr">
        <is>
          <t>UK</t>
        </is>
      </c>
      <c r="E31" t="n">
        <v>2027</v>
      </c>
      <c r="F31" t="n">
        <v>24.2</v>
      </c>
      <c r="G31" t="n">
        <v>20.3</v>
      </c>
      <c r="H31" t="n">
        <v>2.8</v>
      </c>
      <c r="I31" t="n">
        <v>14.7</v>
      </c>
      <c r="J31" t="n">
        <v>9.199999999999999</v>
      </c>
      <c r="K31" t="n">
        <v>2.17</v>
      </c>
      <c r="L31" t="n">
        <v>-0.05</v>
      </c>
      <c r="M31" t="n">
        <v>33.9</v>
      </c>
      <c r="N31" t="n">
        <v>61.1</v>
      </c>
      <c r="O31" t="n">
        <v>2135.11</v>
      </c>
      <c r="P31" t="n">
        <v>3.8</v>
      </c>
      <c r="Q31" t="n">
        <v>168</v>
      </c>
    </row>
    <row r="32">
      <c r="A32" t="inlineStr">
        <is>
          <t>XOM</t>
        </is>
      </c>
      <c r="B32" t="inlineStr">
        <is>
          <t>Exxon Mobil Corporation</t>
        </is>
      </c>
      <c r="C32" t="inlineStr">
        <is>
          <t>Energia Oil</t>
        </is>
      </c>
      <c r="D32" t="inlineStr">
        <is>
          <t>US</t>
        </is>
      </c>
      <c r="E32" t="n">
        <v>134.97</v>
      </c>
      <c r="F32" t="n">
        <v>19.5</v>
      </c>
      <c r="G32" t="n">
        <v>9.800000000000001</v>
      </c>
      <c r="H32" t="n">
        <v>3</v>
      </c>
      <c r="I32" t="n">
        <v>9.1</v>
      </c>
      <c r="J32" t="n">
        <v>11.1</v>
      </c>
      <c r="K32" t="n">
        <v>0.46</v>
      </c>
      <c r="L32" t="n">
        <v>0.36</v>
      </c>
      <c r="M32" t="n">
        <v>24.2</v>
      </c>
      <c r="N32" t="n">
        <v>28.8</v>
      </c>
      <c r="O32" t="n">
        <v>132.48</v>
      </c>
      <c r="P32" t="n">
        <v>3.7</v>
      </c>
      <c r="Q32" t="n">
        <v>305</v>
      </c>
    </row>
    <row r="33">
      <c r="A33" t="inlineStr">
        <is>
          <t>DB</t>
        </is>
      </c>
      <c r="B33" t="inlineStr">
        <is>
          <t>Deutsche Bank AG</t>
        </is>
      </c>
      <c r="C33" t="inlineStr">
        <is>
          <t>Europa Financieras</t>
        </is>
      </c>
      <c r="D33" t="inlineStr">
        <is>
          <t>Germany</t>
        </is>
      </c>
      <c r="E33" t="n">
        <v>39.08</v>
      </c>
      <c r="F33" t="n">
        <v>8.6</v>
      </c>
      <c r="I33" t="n">
        <v>6.1</v>
      </c>
      <c r="J33" t="n">
        <v>32.1</v>
      </c>
      <c r="K33" t="n">
        <v>-107534024704</v>
      </c>
      <c r="L33" t="n">
        <v>1.07</v>
      </c>
      <c r="M33" t="n">
        <v>36.6</v>
      </c>
      <c r="N33" t="n">
        <v>100.8</v>
      </c>
      <c r="O33" t="n">
        <v>42.9</v>
      </c>
      <c r="P33" t="n">
        <v>5</v>
      </c>
      <c r="Q33" t="n">
        <v>198</v>
      </c>
    </row>
    <row r="34">
      <c r="A34" t="inlineStr">
        <is>
          <t>SPG</t>
        </is>
      </c>
      <c r="B34" t="inlineStr">
        <is>
          <t>Simon Property Group, Inc</t>
        </is>
      </c>
      <c r="C34" t="inlineStr">
        <is>
          <t>REITs</t>
        </is>
      </c>
      <c r="D34" t="inlineStr">
        <is>
          <t>US</t>
        </is>
      </c>
      <c r="E34" t="n">
        <v>184.73</v>
      </c>
      <c r="F34" t="n">
        <v>26.8</v>
      </c>
      <c r="G34" t="n">
        <v>18.8</v>
      </c>
      <c r="H34" t="n">
        <v>2.9</v>
      </c>
      <c r="I34" t="n">
        <v>66</v>
      </c>
      <c r="J34" t="n">
        <v>50.8</v>
      </c>
      <c r="K34" t="n">
        <v>5.44</v>
      </c>
      <c r="L34" t="n">
        <v>1.4</v>
      </c>
      <c r="M34" t="n">
        <v>25.5</v>
      </c>
      <c r="N34" t="n">
        <v>11.4</v>
      </c>
      <c r="O34" t="n">
        <v>197.15</v>
      </c>
      <c r="P34" t="n">
        <v>3.8</v>
      </c>
      <c r="Q34" t="n">
        <v>476</v>
      </c>
    </row>
    <row r="35">
      <c r="A35" t="inlineStr">
        <is>
          <t>VRTX</t>
        </is>
      </c>
      <c r="B35" t="inlineStr">
        <is>
          <t>Vertex Pharmaceuticals In</t>
        </is>
      </c>
      <c r="C35" t="inlineStr">
        <is>
          <t>Biotech</t>
        </is>
      </c>
      <c r="D35" t="inlineStr">
        <is>
          <t>US</t>
        </is>
      </c>
      <c r="E35" t="n">
        <v>468.41</v>
      </c>
      <c r="F35" t="n">
        <v>23.2</v>
      </c>
      <c r="G35" t="n">
        <v>24.3</v>
      </c>
      <c r="H35" t="n">
        <v>2.4</v>
      </c>
      <c r="I35" t="n">
        <v>17.8</v>
      </c>
      <c r="J35" t="n">
        <v>40.3</v>
      </c>
      <c r="K35" t="n">
        <v>-0.9399999999999999</v>
      </c>
      <c r="L35" t="n">
        <v>0.31</v>
      </c>
      <c r="M35" t="n">
        <v>34</v>
      </c>
      <c r="N35" t="n">
        <v>6.5</v>
      </c>
      <c r="O35" t="n">
        <v>506.24</v>
      </c>
      <c r="P35" t="n">
        <v>4.2</v>
      </c>
      <c r="Q35" t="n">
        <v>0</v>
      </c>
    </row>
    <row r="36">
      <c r="A36" t="inlineStr">
        <is>
          <t>VALE</t>
        </is>
      </c>
      <c r="B36" t="inlineStr">
        <is>
          <t>VALE S.A.</t>
        </is>
      </c>
      <c r="C36" t="inlineStr">
        <is>
          <t>Latam</t>
        </is>
      </c>
      <c r="D36" t="inlineStr">
        <is>
          <t>Brazil</t>
        </is>
      </c>
      <c r="E36" t="n">
        <v>16.18</v>
      </c>
      <c r="F36" t="n">
        <v>7.5</v>
      </c>
      <c r="G36" t="n">
        <v>2.1</v>
      </c>
      <c r="H36" t="n">
        <v>-1.4</v>
      </c>
      <c r="I36" t="n">
        <v>10.6</v>
      </c>
      <c r="J36" t="n">
        <v>32.3</v>
      </c>
      <c r="K36" t="n">
        <v>1.07</v>
      </c>
      <c r="L36" t="n">
        <v>0.87</v>
      </c>
      <c r="M36" t="n">
        <v>29.2</v>
      </c>
      <c r="N36" t="n">
        <v>93.59999999999999</v>
      </c>
      <c r="O36" t="n">
        <v>14.7</v>
      </c>
      <c r="P36" t="n">
        <v>4</v>
      </c>
      <c r="Q36" t="n">
        <v>772</v>
      </c>
    </row>
    <row r="37">
      <c r="A37" t="inlineStr">
        <is>
          <t>BBVA</t>
        </is>
      </c>
      <c r="B37" t="inlineStr">
        <is>
          <t>Banco Bilbao Vizcaya Arge</t>
        </is>
      </c>
      <c r="C37" t="inlineStr">
        <is>
          <t>Europa Financieras</t>
        </is>
      </c>
      <c r="D37" t="inlineStr">
        <is>
          <t>Spain</t>
        </is>
      </c>
      <c r="E37" t="n">
        <v>24.97</v>
      </c>
      <c r="F37" t="n">
        <v>12.3</v>
      </c>
      <c r="I37" t="n">
        <v>14.9</v>
      </c>
      <c r="J37" t="n">
        <v>53.1</v>
      </c>
      <c r="K37" t="n">
        <v>17038999552</v>
      </c>
      <c r="L37" t="n">
        <v>1.01</v>
      </c>
      <c r="M37" t="n">
        <v>31.4</v>
      </c>
      <c r="N37" t="n">
        <v>131.7</v>
      </c>
      <c r="O37" t="n">
        <v>24.28</v>
      </c>
      <c r="P37" t="n">
        <v>3.5</v>
      </c>
      <c r="Q37" t="n">
        <v>332</v>
      </c>
    </row>
    <row r="38">
      <c r="A38" t="inlineStr">
        <is>
          <t>NU</t>
        </is>
      </c>
      <c r="B38" t="inlineStr">
        <is>
          <t>Nu Holdings Ltd.</t>
        </is>
      </c>
      <c r="C38" t="inlineStr">
        <is>
          <t>Latam</t>
        </is>
      </c>
      <c r="D38" t="inlineStr">
        <is>
          <t>Brazil</t>
        </is>
      </c>
      <c r="E38" t="n">
        <v>18.04</v>
      </c>
      <c r="F38" t="n">
        <v>19.8</v>
      </c>
      <c r="I38" t="n">
        <v>22.2</v>
      </c>
      <c r="J38" t="n">
        <v>58.2</v>
      </c>
      <c r="K38" t="n">
        <v>-9903684608</v>
      </c>
      <c r="L38" t="n">
        <v>1.08</v>
      </c>
      <c r="M38" t="n">
        <v>44.5</v>
      </c>
      <c r="N38" t="n">
        <v>46.2</v>
      </c>
      <c r="O38" t="n">
        <v>19.82</v>
      </c>
      <c r="P38" t="n">
        <v>4.6</v>
      </c>
      <c r="Q38" t="n">
        <v>0</v>
      </c>
    </row>
    <row r="39">
      <c r="A39" t="inlineStr">
        <is>
          <t>AMX</t>
        </is>
      </c>
      <c r="B39" t="inlineStr">
        <is>
          <t xml:space="preserve">America Movil, S.A.B. de </t>
        </is>
      </c>
      <c r="C39" t="inlineStr">
        <is>
          <t>Latam</t>
        </is>
      </c>
      <c r="D39" t="inlineStr">
        <is>
          <t>Mexico</t>
        </is>
      </c>
      <c r="E39" t="n">
        <v>20.76</v>
      </c>
      <c r="F39" t="n">
        <v>12.3</v>
      </c>
      <c r="G39" t="n">
        <v>6.2</v>
      </c>
      <c r="H39" t="n">
        <v>179.6</v>
      </c>
      <c r="I39" t="n">
        <v>12.6</v>
      </c>
      <c r="J39" t="n">
        <v>21.5</v>
      </c>
      <c r="K39" t="n">
        <v>2.06</v>
      </c>
      <c r="L39" t="n">
        <v>0.3</v>
      </c>
      <c r="M39" t="n">
        <v>24.2</v>
      </c>
      <c r="N39" t="n">
        <v>49.3</v>
      </c>
      <c r="O39" t="n">
        <v>23.4</v>
      </c>
      <c r="P39" t="n">
        <v>3.8</v>
      </c>
      <c r="Q39" t="n">
        <v>272</v>
      </c>
    </row>
    <row r="40">
      <c r="A40" t="inlineStr">
        <is>
          <t>FCX</t>
        </is>
      </c>
      <c r="B40" t="inlineStr">
        <is>
          <t>Freeport-McMoRan, Inc.</t>
        </is>
      </c>
      <c r="C40" t="inlineStr">
        <is>
          <t>Cobre Litio</t>
        </is>
      </c>
      <c r="D40" t="inlineStr">
        <is>
          <t>US</t>
        </is>
      </c>
      <c r="E40" t="n">
        <v>60.41</v>
      </c>
      <c r="F40" t="n">
        <v>19.1</v>
      </c>
      <c r="G40" t="n">
        <v>11.7</v>
      </c>
      <c r="H40" t="n">
        <v>1.6</v>
      </c>
      <c r="I40" t="n">
        <v>11.2</v>
      </c>
      <c r="J40" t="n">
        <v>14.4</v>
      </c>
      <c r="K40" t="n">
        <v>0.75</v>
      </c>
      <c r="L40" t="n">
        <v>1.45</v>
      </c>
      <c r="M40" t="n">
        <v>49.4</v>
      </c>
      <c r="N40" t="n">
        <v>62</v>
      </c>
      <c r="O40" t="n">
        <v>59.22</v>
      </c>
      <c r="P40" t="n">
        <v>4.1</v>
      </c>
      <c r="Q40" t="n">
        <v>99</v>
      </c>
    </row>
    <row r="41">
      <c r="A41" t="inlineStr">
        <is>
          <t>BMY</t>
        </is>
      </c>
      <c r="B41" t="inlineStr">
        <is>
          <t>Bristol-Myers Squibb Comp</t>
        </is>
      </c>
      <c r="C41" t="inlineStr">
        <is>
          <t>Pharma</t>
        </is>
      </c>
      <c r="D41" t="inlineStr">
        <is>
          <t>US</t>
        </is>
      </c>
      <c r="E41" t="n">
        <v>54.65</v>
      </c>
      <c r="F41" t="n">
        <v>9.1</v>
      </c>
      <c r="G41" t="n">
        <v>7.6</v>
      </c>
      <c r="H41" t="n">
        <v>13.2</v>
      </c>
      <c r="I41" t="n">
        <v>27</v>
      </c>
      <c r="J41" t="n">
        <v>31.6</v>
      </c>
      <c r="K41" t="n">
        <v>1.8</v>
      </c>
      <c r="L41" t="n">
        <v>0.29</v>
      </c>
      <c r="M41" t="n">
        <v>29.2</v>
      </c>
      <c r="N41" t="n">
        <v>-3.8</v>
      </c>
      <c r="O41" t="n">
        <v>56.96</v>
      </c>
      <c r="P41" t="n">
        <v>3.4</v>
      </c>
      <c r="Q41" t="n">
        <v>461</v>
      </c>
    </row>
    <row r="42">
      <c r="A42" t="inlineStr">
        <is>
          <t>BSBR</t>
        </is>
      </c>
      <c r="B42" t="inlineStr">
        <is>
          <t>Banco Santander Brasil SA</t>
        </is>
      </c>
      <c r="C42" t="inlineStr">
        <is>
          <t>Latam</t>
        </is>
      </c>
      <c r="D42" t="inlineStr">
        <is>
          <t>Brazil</t>
        </is>
      </c>
      <c r="E42" t="n">
        <v>6.77</v>
      </c>
      <c r="F42" t="n">
        <v>8.1</v>
      </c>
      <c r="I42" t="n">
        <v>7.9</v>
      </c>
      <c r="J42" t="n">
        <v>54.9</v>
      </c>
      <c r="K42" t="n">
        <v>155046641664</v>
      </c>
      <c r="L42" t="n">
        <v>0.24</v>
      </c>
      <c r="M42" t="n">
        <v>31.4</v>
      </c>
      <c r="N42" t="n">
        <v>64.8</v>
      </c>
      <c r="O42" t="n">
        <v>6.32</v>
      </c>
      <c r="P42" t="n">
        <v>3.4</v>
      </c>
      <c r="Q42" t="n">
        <v>483</v>
      </c>
    </row>
    <row r="43">
      <c r="A43" t="inlineStr">
        <is>
          <t>KO</t>
        </is>
      </c>
      <c r="B43" t="inlineStr">
        <is>
          <t>Coca-Cola Company (The)</t>
        </is>
      </c>
      <c r="C43" t="inlineStr">
        <is>
          <t>Defensivo</t>
        </is>
      </c>
      <c r="D43" t="inlineStr">
        <is>
          <t>US</t>
        </is>
      </c>
      <c r="E43" t="n">
        <v>72.88</v>
      </c>
      <c r="F43" t="n">
        <v>22.6</v>
      </c>
      <c r="G43" t="n">
        <v>21.3</v>
      </c>
      <c r="H43" t="n">
        <v>0.5</v>
      </c>
      <c r="I43" t="n">
        <v>34</v>
      </c>
      <c r="J43" t="n">
        <v>32.4</v>
      </c>
      <c r="K43" t="n">
        <v>1.99</v>
      </c>
      <c r="L43" t="n">
        <v>0.39</v>
      </c>
      <c r="M43" t="n">
        <v>17.9</v>
      </c>
      <c r="N43" t="n">
        <v>21.2</v>
      </c>
      <c r="O43" t="n">
        <v>79.23</v>
      </c>
      <c r="P43" t="n">
        <v>4.3</v>
      </c>
      <c r="Q43" t="n">
        <v>280</v>
      </c>
    </row>
    <row r="44">
      <c r="A44" t="inlineStr">
        <is>
          <t>PFE</t>
        </is>
      </c>
      <c r="B44" t="inlineStr">
        <is>
          <t>Pfizer, Inc.</t>
        </is>
      </c>
      <c r="C44" t="inlineStr">
        <is>
          <t>Pharma</t>
        </is>
      </c>
      <c r="D44" t="inlineStr">
        <is>
          <t>US</t>
        </is>
      </c>
      <c r="E44" t="n">
        <v>25.65</v>
      </c>
      <c r="F44" t="n">
        <v>8.6</v>
      </c>
      <c r="G44" t="n">
        <v>7.9</v>
      </c>
      <c r="H44" t="n">
        <v>9.800000000000001</v>
      </c>
      <c r="I44" t="n">
        <v>8.5</v>
      </c>
      <c r="J44" t="n">
        <v>35.3</v>
      </c>
      <c r="K44" t="n">
        <v>1.92</v>
      </c>
      <c r="L44" t="n">
        <v>0.43</v>
      </c>
      <c r="M44" t="n">
        <v>26</v>
      </c>
      <c r="N44" t="n">
        <v>5.4</v>
      </c>
      <c r="O44" t="n">
        <v>28.66</v>
      </c>
      <c r="P44" t="n">
        <v>3.6</v>
      </c>
      <c r="Q44" t="n">
        <v>671</v>
      </c>
    </row>
    <row r="45">
      <c r="A45" t="inlineStr">
        <is>
          <t>O</t>
        </is>
      </c>
      <c r="B45" t="inlineStr">
        <is>
          <t>Realty Income Corporation</t>
        </is>
      </c>
      <c r="C45" t="inlineStr">
        <is>
          <t>REITs</t>
        </is>
      </c>
      <c r="D45" t="inlineStr">
        <is>
          <t>US</t>
        </is>
      </c>
      <c r="E45" t="n">
        <v>60.74</v>
      </c>
      <c r="F45" t="n">
        <v>37.9</v>
      </c>
      <c r="G45" t="n">
        <v>16.8</v>
      </c>
      <c r="H45" t="n">
        <v>3.7</v>
      </c>
      <c r="I45" t="n">
        <v>2</v>
      </c>
      <c r="J45" t="n">
        <v>44.5</v>
      </c>
      <c r="K45" t="n">
        <v>5.66</v>
      </c>
      <c r="L45" t="n">
        <v>0.8100000000000001</v>
      </c>
      <c r="M45" t="n">
        <v>17.3</v>
      </c>
      <c r="N45" t="n">
        <v>18.3</v>
      </c>
      <c r="O45" t="n">
        <v>63.77</v>
      </c>
      <c r="P45" t="n">
        <v>3.5</v>
      </c>
      <c r="Q45" t="n">
        <v>533</v>
      </c>
    </row>
    <row r="46">
      <c r="A46" t="inlineStr">
        <is>
          <t>FSLR</t>
        </is>
      </c>
      <c r="B46" t="inlineStr">
        <is>
          <t>First Solar, Inc.</t>
        </is>
      </c>
      <c r="C46" t="inlineStr">
        <is>
          <t>Energia Renovables</t>
        </is>
      </c>
      <c r="D46" t="inlineStr">
        <is>
          <t>US</t>
        </is>
      </c>
      <c r="E46" t="n">
        <v>242.15</v>
      </c>
      <c r="F46" t="n">
        <v>10.3</v>
      </c>
      <c r="G46" t="n">
        <v>12.3</v>
      </c>
      <c r="H46" t="n">
        <v>0.6</v>
      </c>
      <c r="I46" t="n">
        <v>13.5</v>
      </c>
      <c r="J46" t="n">
        <v>29.2</v>
      </c>
      <c r="K46" t="n">
        <v>-0.57</v>
      </c>
      <c r="L46" t="n">
        <v>1.6</v>
      </c>
      <c r="M46" t="n">
        <v>62.5</v>
      </c>
      <c r="N46" t="n">
        <v>43.9</v>
      </c>
      <c r="O46" t="n">
        <v>279.41</v>
      </c>
      <c r="P46" t="n">
        <v>4.3</v>
      </c>
      <c r="Q46" t="n">
        <v>0</v>
      </c>
    </row>
    <row r="47">
      <c r="A47" t="inlineStr">
        <is>
          <t>VWS.CO</t>
        </is>
      </c>
      <c r="B47" t="inlineStr">
        <is>
          <t>Vestas Wind Systems A/S</t>
        </is>
      </c>
      <c r="C47" t="inlineStr">
        <is>
          <t>Energia Renovables</t>
        </is>
      </c>
      <c r="D47" t="inlineStr">
        <is>
          <t>Denmark</t>
        </is>
      </c>
      <c r="E47" t="n">
        <v>179.35</v>
      </c>
      <c r="F47" t="n">
        <v>22</v>
      </c>
      <c r="G47" t="n">
        <v>101.9</v>
      </c>
      <c r="H47" t="n">
        <v>1.1</v>
      </c>
      <c r="I47" t="n">
        <v>23.5</v>
      </c>
      <c r="J47" t="n">
        <v>7.8</v>
      </c>
      <c r="K47" t="n">
        <v>-0.22</v>
      </c>
      <c r="L47" t="n">
        <v>1.35</v>
      </c>
      <c r="M47" t="n">
        <v>51.3</v>
      </c>
      <c r="N47" t="n">
        <v>89.7</v>
      </c>
      <c r="O47" t="n">
        <v>171.62</v>
      </c>
      <c r="P47" t="n">
        <v>3.8</v>
      </c>
      <c r="Q47" t="n">
        <v>31</v>
      </c>
    </row>
    <row r="48">
      <c r="A48" t="inlineStr">
        <is>
          <t>KOF</t>
        </is>
      </c>
      <c r="B48" t="inlineStr">
        <is>
          <t>Coca Cola Femsa S.A.B. de</t>
        </is>
      </c>
      <c r="C48" t="inlineStr">
        <is>
          <t>Latam</t>
        </is>
      </c>
      <c r="D48" t="inlineStr">
        <is>
          <t>Mexico</t>
        </is>
      </c>
      <c r="E48" t="n">
        <v>106.53</v>
      </c>
      <c r="F48" t="n">
        <v>15.3</v>
      </c>
      <c r="G48" t="n">
        <v>5.7</v>
      </c>
      <c r="H48" t="n">
        <v>11.1</v>
      </c>
      <c r="I48" t="n">
        <v>13.3</v>
      </c>
      <c r="J48" t="n">
        <v>13.9</v>
      </c>
      <c r="K48" t="n">
        <v>1.03</v>
      </c>
      <c r="L48" t="n">
        <v>0.51</v>
      </c>
      <c r="M48" t="n">
        <v>25.1</v>
      </c>
      <c r="N48" t="n">
        <v>42.4</v>
      </c>
      <c r="O48" t="n">
        <v>103.76</v>
      </c>
      <c r="P48" t="n">
        <v>4.4</v>
      </c>
      <c r="Q48" t="n">
        <v>375</v>
      </c>
    </row>
    <row r="49">
      <c r="A49" t="inlineStr">
        <is>
          <t>PBR</t>
        </is>
      </c>
      <c r="B49" t="inlineStr">
        <is>
          <t xml:space="preserve">Petroleo Brasileiro S.A. </t>
        </is>
      </c>
      <c r="C49" t="inlineStr">
        <is>
          <t>Energia Oil</t>
        </is>
      </c>
      <c r="D49" t="inlineStr">
        <is>
          <t>Brazil</t>
        </is>
      </c>
      <c r="E49" t="n">
        <v>14.28</v>
      </c>
      <c r="F49" t="n">
        <v>5.6</v>
      </c>
      <c r="G49" t="n">
        <v>2.6</v>
      </c>
      <c r="H49" t="n">
        <v>88.2</v>
      </c>
      <c r="I49" t="n">
        <v>15.2</v>
      </c>
      <c r="J49" t="n">
        <v>36.2</v>
      </c>
      <c r="K49" t="n">
        <v>1.64</v>
      </c>
      <c r="L49" t="n">
        <v>-0.03</v>
      </c>
      <c r="M49" t="n">
        <v>31.4</v>
      </c>
      <c r="N49" t="n">
        <v>11.7</v>
      </c>
      <c r="O49" t="n">
        <v>14.79</v>
      </c>
      <c r="P49" t="n">
        <v>4.3</v>
      </c>
      <c r="Q49" t="n">
        <v>1176</v>
      </c>
    </row>
    <row r="50">
      <c r="A50" t="inlineStr">
        <is>
          <t>UL</t>
        </is>
      </c>
      <c r="B50" t="inlineStr">
        <is>
          <t>Unilever PLC</t>
        </is>
      </c>
      <c r="C50" t="inlineStr">
        <is>
          <t>Defensivo</t>
        </is>
      </c>
      <c r="D50" t="inlineStr">
        <is>
          <t>UK</t>
        </is>
      </c>
      <c r="E50" t="n">
        <v>67</v>
      </c>
      <c r="F50" t="n">
        <v>18.4</v>
      </c>
      <c r="G50" t="n">
        <v>14.8</v>
      </c>
      <c r="H50" t="n">
        <v>3.7</v>
      </c>
      <c r="I50" t="n">
        <v>23</v>
      </c>
      <c r="J50" t="n">
        <v>18.8</v>
      </c>
      <c r="K50" t="n">
        <v>2.25</v>
      </c>
      <c r="L50" t="n">
        <v>0.22</v>
      </c>
      <c r="M50" t="n">
        <v>20.5</v>
      </c>
      <c r="N50" t="n">
        <v>8.9</v>
      </c>
      <c r="O50" t="n">
        <v>70.14</v>
      </c>
      <c r="P50" t="n">
        <v>4.3</v>
      </c>
      <c r="Q50" t="n">
        <v>342</v>
      </c>
    </row>
    <row r="51">
      <c r="A51" t="inlineStr">
        <is>
          <t>ASML</t>
        </is>
      </c>
      <c r="B51" t="inlineStr">
        <is>
          <t>ASML Holding N.V. - New Y</t>
        </is>
      </c>
      <c r="C51" t="inlineStr">
        <is>
          <t>Europa Tech</t>
        </is>
      </c>
      <c r="D51" t="inlineStr">
        <is>
          <t>Netherlands</t>
        </is>
      </c>
      <c r="E51" t="n">
        <v>1389.04</v>
      </c>
      <c r="F51" t="n">
        <v>43</v>
      </c>
      <c r="G51" t="n">
        <v>44</v>
      </c>
      <c r="H51" t="n">
        <v>1.7</v>
      </c>
      <c r="I51" t="n">
        <v>43.1</v>
      </c>
      <c r="J51" t="n">
        <v>32.8</v>
      </c>
      <c r="K51" t="n">
        <v>-0.2</v>
      </c>
      <c r="L51" t="n">
        <v>1.34</v>
      </c>
      <c r="M51" t="n">
        <v>41.3</v>
      </c>
      <c r="N51" t="n">
        <v>91.5</v>
      </c>
      <c r="O51" t="n">
        <v>1347.6</v>
      </c>
      <c r="P51" t="n">
        <v>4.4</v>
      </c>
      <c r="Q51" t="n">
        <v>53</v>
      </c>
    </row>
    <row r="52">
      <c r="A52" t="inlineStr">
        <is>
          <t>GOOGL</t>
        </is>
      </c>
      <c r="B52" t="inlineStr">
        <is>
          <t>Alphabet Inc.</t>
        </is>
      </c>
      <c r="C52" t="inlineStr">
        <is>
          <t>Big Tech</t>
        </is>
      </c>
      <c r="D52" t="inlineStr">
        <is>
          <t>US</t>
        </is>
      </c>
      <c r="E52" t="n">
        <v>327.93</v>
      </c>
      <c r="F52" t="n">
        <v>29.2</v>
      </c>
      <c r="G52" t="n">
        <v>26.9</v>
      </c>
      <c r="H52" t="n">
        <v>1.2</v>
      </c>
      <c r="I52" t="n">
        <v>28.4</v>
      </c>
      <c r="J52" t="n">
        <v>30.5</v>
      </c>
      <c r="K52" t="n">
        <v>-0.37</v>
      </c>
      <c r="L52" t="n">
        <v>1.09</v>
      </c>
      <c r="M52" t="n">
        <v>32.3</v>
      </c>
      <c r="N52" t="n">
        <v>64.40000000000001</v>
      </c>
      <c r="O52" t="n">
        <v>342.89</v>
      </c>
      <c r="P52" t="n">
        <v>4.6</v>
      </c>
      <c r="Q52" t="n">
        <v>26</v>
      </c>
    </row>
    <row r="53">
      <c r="A53" t="inlineStr">
        <is>
          <t>SU</t>
        </is>
      </c>
      <c r="B53" t="inlineStr">
        <is>
          <t>Suncor Energy  Inc.</t>
        </is>
      </c>
      <c r="C53" t="inlineStr">
        <is>
          <t>Energia Oil</t>
        </is>
      </c>
      <c r="D53" t="inlineStr">
        <is>
          <t>Canada</t>
        </is>
      </c>
      <c r="E53" t="n">
        <v>50.87</v>
      </c>
      <c r="F53" t="n">
        <v>19.9</v>
      </c>
      <c r="G53" t="n">
        <v>4.8</v>
      </c>
      <c r="H53" t="n">
        <v>11.4</v>
      </c>
      <c r="I53" t="n">
        <v>9.300000000000001</v>
      </c>
      <c r="J53" t="n">
        <v>19.4</v>
      </c>
      <c r="K53" t="n">
        <v>0.76</v>
      </c>
      <c r="L53" t="n">
        <v>0.82</v>
      </c>
      <c r="M53" t="n">
        <v>27.7</v>
      </c>
      <c r="N53" t="n">
        <v>33.5</v>
      </c>
      <c r="O53" t="n">
        <v>47.97</v>
      </c>
      <c r="P53" t="n">
        <v>4</v>
      </c>
      <c r="Q53" t="n">
        <v>345</v>
      </c>
    </row>
    <row r="54">
      <c r="A54" t="inlineStr">
        <is>
          <t>NVO</t>
        </is>
      </c>
      <c r="B54" t="inlineStr">
        <is>
          <t>Novo Nordisk A/S</t>
        </is>
      </c>
      <c r="C54" t="inlineStr">
        <is>
          <t>Pharma</t>
        </is>
      </c>
      <c r="D54" t="inlineStr">
        <is>
          <t>Denmark</t>
        </is>
      </c>
      <c r="E54" t="n">
        <v>62.26</v>
      </c>
      <c r="F54" t="n">
        <v>18</v>
      </c>
      <c r="G54" t="n">
        <v>2.1</v>
      </c>
      <c r="H54" t="n">
        <v>12.5</v>
      </c>
      <c r="I54" t="n">
        <v>57.2</v>
      </c>
      <c r="J54" t="n">
        <v>44.4</v>
      </c>
      <c r="K54" t="n">
        <v>0.41</v>
      </c>
      <c r="L54" t="n">
        <v>0.36</v>
      </c>
      <c r="M54" t="n">
        <v>49.5</v>
      </c>
      <c r="N54" t="n">
        <v>-27.3</v>
      </c>
      <c r="O54" t="n">
        <v>58</v>
      </c>
      <c r="P54" t="n">
        <v>3.6</v>
      </c>
      <c r="Q54" t="n">
        <v>277</v>
      </c>
    </row>
    <row r="55">
      <c r="A55" t="inlineStr">
        <is>
          <t>AMT</t>
        </is>
      </c>
      <c r="B55" t="inlineStr">
        <is>
          <t>American Tower Corporatio</t>
        </is>
      </c>
      <c r="C55" t="inlineStr">
        <is>
          <t>REITs</t>
        </is>
      </c>
      <c r="D55" t="inlineStr">
        <is>
          <t>US</t>
        </is>
      </c>
      <c r="E55" t="n">
        <v>178.75</v>
      </c>
      <c r="F55" t="n">
        <v>25.7</v>
      </c>
      <c r="G55" t="n">
        <v>19.9</v>
      </c>
      <c r="H55" t="n">
        <v>5.1</v>
      </c>
      <c r="I55" t="n">
        <v>23.1</v>
      </c>
      <c r="J55" t="n">
        <v>45.5</v>
      </c>
      <c r="K55" t="n">
        <v>6.4</v>
      </c>
      <c r="L55" t="n">
        <v>0.93</v>
      </c>
      <c r="M55" t="n">
        <v>24.2</v>
      </c>
      <c r="N55" t="n">
        <v>-0</v>
      </c>
      <c r="O55" t="n">
        <v>217.6</v>
      </c>
      <c r="P55" t="n">
        <v>4.2</v>
      </c>
      <c r="Q55" t="n">
        <v>380</v>
      </c>
    </row>
    <row r="56">
      <c r="A56" t="inlineStr">
        <is>
          <t>IBDRY</t>
        </is>
      </c>
      <c r="B56" t="inlineStr">
        <is>
          <t>Iberdrola S.A.</t>
        </is>
      </c>
      <c r="C56" t="inlineStr">
        <is>
          <t>Energia Renovables</t>
        </is>
      </c>
      <c r="D56" t="inlineStr">
        <is>
          <t>Spain</t>
        </is>
      </c>
      <c r="E56" t="n">
        <v>86.95999999999999</v>
      </c>
      <c r="F56" t="n">
        <v>30.2</v>
      </c>
      <c r="G56" t="n">
        <v>42.4</v>
      </c>
      <c r="I56" t="n">
        <v>7.5</v>
      </c>
      <c r="J56" t="n">
        <v>24.3</v>
      </c>
      <c r="K56" t="n">
        <v>3.19</v>
      </c>
      <c r="L56" t="n">
        <v>0.65</v>
      </c>
      <c r="M56" t="n">
        <v>20.1</v>
      </c>
      <c r="N56" t="n">
        <v>60.9</v>
      </c>
      <c r="O56" t="n">
        <v>89.39</v>
      </c>
      <c r="P56" t="n">
        <v>4</v>
      </c>
      <c r="Q56" t="n">
        <v>355</v>
      </c>
    </row>
    <row r="57">
      <c r="A57" t="inlineStr">
        <is>
          <t>UUUU</t>
        </is>
      </c>
      <c r="B57" t="inlineStr">
        <is>
          <t>Energy Fuels Inc</t>
        </is>
      </c>
      <c r="C57" t="inlineStr">
        <is>
          <t>Nuclear</t>
        </is>
      </c>
      <c r="D57" t="inlineStr">
        <is>
          <t>US</t>
        </is>
      </c>
      <c r="E57" t="n">
        <v>25.5</v>
      </c>
      <c r="F57" t="n">
        <v>141.7</v>
      </c>
      <c r="G57" t="n">
        <v>-62.5</v>
      </c>
      <c r="H57" t="n">
        <v>-1.8</v>
      </c>
      <c r="I57" t="n">
        <v>-14.5</v>
      </c>
      <c r="J57" t="n">
        <v>-150.6</v>
      </c>
      <c r="L57" t="n">
        <v>1.85</v>
      </c>
      <c r="M57" t="n">
        <v>87</v>
      </c>
      <c r="N57" t="n">
        <v>346.6</v>
      </c>
      <c r="O57" t="n">
        <v>24.94</v>
      </c>
      <c r="P57" t="n">
        <v>4.3</v>
      </c>
      <c r="Q57" t="n">
        <v>0</v>
      </c>
    </row>
    <row r="58">
      <c r="A58" t="inlineStr">
        <is>
          <t>EQNR</t>
        </is>
      </c>
      <c r="B58" t="inlineStr">
        <is>
          <t>Equinor ASA</t>
        </is>
      </c>
      <c r="C58" t="inlineStr">
        <is>
          <t>Energia Oil</t>
        </is>
      </c>
      <c r="D58" t="inlineStr">
        <is>
          <t>Norway</t>
        </is>
      </c>
      <c r="E58" t="n">
        <v>25.61</v>
      </c>
      <c r="F58" t="n">
        <v>9.699999999999999</v>
      </c>
      <c r="G58" t="n">
        <v>2</v>
      </c>
      <c r="H58" t="n">
        <v>9.9</v>
      </c>
      <c r="I58" t="n">
        <v>10.8</v>
      </c>
      <c r="J58" t="n">
        <v>23</v>
      </c>
      <c r="K58" t="n">
        <v>0.23</v>
      </c>
      <c r="L58" t="n">
        <v>-0.31</v>
      </c>
      <c r="M58" t="n">
        <v>31.7</v>
      </c>
      <c r="N58" t="n">
        <v>14.3</v>
      </c>
      <c r="O58" t="n">
        <v>23.47</v>
      </c>
      <c r="P58" t="n">
        <v>2.8</v>
      </c>
      <c r="Q58" t="n">
        <v>578</v>
      </c>
    </row>
    <row r="59">
      <c r="A59" t="inlineStr">
        <is>
          <t>CCJ</t>
        </is>
      </c>
      <c r="B59" t="inlineStr">
        <is>
          <t>Cameco Corporation</t>
        </is>
      </c>
      <c r="C59" t="inlineStr">
        <is>
          <t>Nuclear</t>
        </is>
      </c>
      <c r="D59" t="inlineStr">
        <is>
          <t>Canada</t>
        </is>
      </c>
      <c r="E59" t="n">
        <v>124.04</v>
      </c>
      <c r="F59" t="n">
        <v>87.3</v>
      </c>
      <c r="G59" t="n">
        <v>57.9</v>
      </c>
      <c r="H59" t="n">
        <v>1.5</v>
      </c>
      <c r="I59" t="n">
        <v>6.5</v>
      </c>
      <c r="J59" t="n">
        <v>13.4</v>
      </c>
      <c r="K59" t="n">
        <v>0.24</v>
      </c>
      <c r="L59" t="n">
        <v>1.22</v>
      </c>
      <c r="M59" t="n">
        <v>53.5</v>
      </c>
      <c r="N59" t="n">
        <v>121.9</v>
      </c>
      <c r="O59" t="n">
        <v>111.96</v>
      </c>
      <c r="P59" t="n">
        <v>4.3</v>
      </c>
      <c r="Q59" t="n">
        <v>14</v>
      </c>
    </row>
    <row r="60">
      <c r="A60" t="inlineStr">
        <is>
          <t>SEDG</t>
        </is>
      </c>
      <c r="B60" t="inlineStr">
        <is>
          <t>SolarEdge Technologies, I</t>
        </is>
      </c>
      <c r="C60" t="inlineStr">
        <is>
          <t>Energia Renovables</t>
        </is>
      </c>
      <c r="D60" t="inlineStr">
        <is>
          <t>US</t>
        </is>
      </c>
      <c r="E60" t="n">
        <v>34.6</v>
      </c>
      <c r="F60" t="n">
        <v>138.6</v>
      </c>
      <c r="G60" t="n">
        <v>-5</v>
      </c>
      <c r="H60" t="n">
        <v>10.3</v>
      </c>
      <c r="I60" t="n">
        <v>-62.5</v>
      </c>
      <c r="J60" t="n">
        <v>-14.3</v>
      </c>
      <c r="L60" t="n">
        <v>1.67</v>
      </c>
      <c r="M60" t="n">
        <v>106.4</v>
      </c>
      <c r="N60" t="n">
        <v>135.7</v>
      </c>
      <c r="O60" t="n">
        <v>32.09</v>
      </c>
      <c r="P60" t="n">
        <v>2.8</v>
      </c>
      <c r="Q60" t="n">
        <v>0</v>
      </c>
    </row>
    <row r="61">
      <c r="A61" t="inlineStr">
        <is>
          <t>ERIC</t>
        </is>
      </c>
      <c r="B61" t="inlineStr">
        <is>
          <t>Ericsson</t>
        </is>
      </c>
      <c r="C61" t="inlineStr">
        <is>
          <t>Europa Tech</t>
        </is>
      </c>
      <c r="D61" t="inlineStr">
        <is>
          <t>Sweden</t>
        </is>
      </c>
      <c r="E61" t="n">
        <v>10.43</v>
      </c>
      <c r="F61" t="n">
        <v>17</v>
      </c>
      <c r="H61" t="n">
        <v>62.9</v>
      </c>
      <c r="I61" t="n">
        <v>22.6</v>
      </c>
      <c r="L61" t="n">
        <v>1</v>
      </c>
      <c r="M61" t="n">
        <v>35.1</v>
      </c>
      <c r="N61" t="n">
        <v>41.7</v>
      </c>
      <c r="O61" t="n">
        <v>9.460000000000001</v>
      </c>
      <c r="P61" t="n">
        <v>2.5</v>
      </c>
      <c r="Q61" t="n">
        <v>282</v>
      </c>
    </row>
    <row r="62">
      <c r="A62" t="inlineStr">
        <is>
          <t>ING</t>
        </is>
      </c>
      <c r="B62" t="inlineStr">
        <is>
          <t>ING Group, N.V.</t>
        </is>
      </c>
      <c r="C62" t="inlineStr">
        <is>
          <t>Europa Financieras</t>
        </is>
      </c>
      <c r="D62" t="inlineStr">
        <is>
          <t>Netherlands</t>
        </is>
      </c>
      <c r="E62" t="n">
        <v>28.63</v>
      </c>
      <c r="F62" t="n">
        <v>10.7</v>
      </c>
      <c r="I62" t="n">
        <v>8.199999999999999</v>
      </c>
      <c r="J62" t="n">
        <v>47.3</v>
      </c>
      <c r="K62" t="n">
        <v>95228002304</v>
      </c>
      <c r="L62" t="n">
        <v>1.17</v>
      </c>
      <c r="M62" t="n">
        <v>26.8</v>
      </c>
      <c r="N62" t="n">
        <v>78.2</v>
      </c>
      <c r="O62" t="n">
        <v>28.95</v>
      </c>
      <c r="P62" t="n">
        <v>3</v>
      </c>
      <c r="Q62" t="n">
        <v>422</v>
      </c>
    </row>
    <row r="63">
      <c r="A63" t="inlineStr">
        <is>
          <t>UEC</t>
        </is>
      </c>
      <c r="B63" t="inlineStr">
        <is>
          <t>Uranium Energy Corp.</t>
        </is>
      </c>
      <c r="C63" t="inlineStr">
        <is>
          <t>Nuclear</t>
        </is>
      </c>
      <c r="D63" t="inlineStr">
        <is>
          <t>US</t>
        </is>
      </c>
      <c r="E63" t="n">
        <v>18.62</v>
      </c>
      <c r="F63" t="n">
        <v>256.8</v>
      </c>
      <c r="G63" t="n">
        <v>-101</v>
      </c>
      <c r="H63" t="n">
        <v>-0.7</v>
      </c>
      <c r="I63" t="n">
        <v>-5.8</v>
      </c>
      <c r="J63" t="n">
        <v>-180.8</v>
      </c>
      <c r="L63" t="n">
        <v>1.24</v>
      </c>
      <c r="M63" t="n">
        <v>74.40000000000001</v>
      </c>
      <c r="N63" t="n">
        <v>132.5</v>
      </c>
      <c r="O63" t="n">
        <v>17.42</v>
      </c>
      <c r="P63" t="n">
        <v>4.6</v>
      </c>
      <c r="Q63" t="n">
        <v>0</v>
      </c>
    </row>
    <row r="64">
      <c r="A64" t="inlineStr">
        <is>
          <t>AIR.PA</t>
        </is>
      </c>
      <c r="B64" t="inlineStr">
        <is>
          <t>AIRBUS SE</t>
        </is>
      </c>
      <c r="C64" t="inlineStr">
        <is>
          <t>Defensa</t>
        </is>
      </c>
      <c r="D64" t="inlineStr">
        <is>
          <t>France</t>
        </is>
      </c>
      <c r="E64" t="n">
        <v>206.8</v>
      </c>
      <c r="F64" t="n">
        <v>26.4</v>
      </c>
      <c r="G64" t="n">
        <v>21.2</v>
      </c>
      <c r="H64" t="n">
        <v>-0.3</v>
      </c>
      <c r="I64" t="n">
        <v>18.4</v>
      </c>
      <c r="J64" t="n">
        <v>9.199999999999999</v>
      </c>
      <c r="K64" t="n">
        <v>0.19</v>
      </c>
      <c r="L64" t="n">
        <v>0.9399999999999999</v>
      </c>
      <c r="M64" t="n">
        <v>28</v>
      </c>
      <c r="N64" t="n">
        <v>26.9</v>
      </c>
      <c r="O64" t="n">
        <v>227.75</v>
      </c>
      <c r="P64" t="n">
        <v>4.1</v>
      </c>
      <c r="Q64" t="n">
        <v>97</v>
      </c>
    </row>
    <row r="65">
      <c r="A65" t="inlineStr">
        <is>
          <t>TTE</t>
        </is>
      </c>
      <c r="B65" t="inlineStr">
        <is>
          <t>TotalEnergies SE</t>
        </is>
      </c>
      <c r="C65" t="inlineStr">
        <is>
          <t>Energia Oil</t>
        </is>
      </c>
      <c r="D65" t="inlineStr">
        <is>
          <t>France</t>
        </is>
      </c>
      <c r="E65" t="n">
        <v>69.20999999999999</v>
      </c>
      <c r="F65" t="n">
        <v>10.8</v>
      </c>
      <c r="G65" t="n">
        <v>5.3</v>
      </c>
      <c r="H65" t="n">
        <v>9</v>
      </c>
      <c r="I65" t="n">
        <v>9.800000000000001</v>
      </c>
      <c r="J65" t="n">
        <v>12.5</v>
      </c>
      <c r="K65" t="n">
        <v>1</v>
      </c>
      <c r="L65" t="n">
        <v>0.23</v>
      </c>
      <c r="M65" t="n">
        <v>23.1</v>
      </c>
      <c r="N65" t="n">
        <v>23.3</v>
      </c>
      <c r="O65" t="n">
        <v>71.56</v>
      </c>
      <c r="P65" t="n">
        <v>3.6</v>
      </c>
      <c r="Q65" t="n">
        <v>565</v>
      </c>
    </row>
    <row r="66">
      <c r="A66" t="inlineStr">
        <is>
          <t>BCS</t>
        </is>
      </c>
      <c r="B66" t="inlineStr">
        <is>
          <t>Barclays PLC</t>
        </is>
      </c>
      <c r="C66" t="inlineStr">
        <is>
          <t>Europa Financieras</t>
        </is>
      </c>
      <c r="D66" t="inlineStr">
        <is>
          <t>UK</t>
        </is>
      </c>
      <c r="E66" t="n">
        <v>26.2</v>
      </c>
      <c r="F66" t="n">
        <v>9</v>
      </c>
      <c r="I66" t="n">
        <v>7.5</v>
      </c>
      <c r="J66" t="n">
        <v>34.4</v>
      </c>
      <c r="K66" t="n">
        <v>35957964800</v>
      </c>
      <c r="L66" t="n">
        <v>0.91</v>
      </c>
      <c r="M66" t="n">
        <v>31</v>
      </c>
      <c r="N66" t="n">
        <v>83.90000000000001</v>
      </c>
      <c r="O66" t="n">
        <v>23.26</v>
      </c>
      <c r="P66" t="n">
        <v>3.5</v>
      </c>
      <c r="Q66" t="n">
        <v>171</v>
      </c>
    </row>
    <row r="67">
      <c r="A67" t="inlineStr">
        <is>
          <t>PEP</t>
        </is>
      </c>
      <c r="B67" t="inlineStr">
        <is>
          <t>Pepsico, Inc.</t>
        </is>
      </c>
      <c r="C67" t="inlineStr">
        <is>
          <t>Defensivo</t>
        </is>
      </c>
      <c r="D67" t="inlineStr">
        <is>
          <t>US</t>
        </is>
      </c>
      <c r="E67" t="n">
        <v>144.58</v>
      </c>
      <c r="F67" t="n">
        <v>16.9</v>
      </c>
      <c r="G67" t="n">
        <v>14.1</v>
      </c>
      <c r="H67" t="n">
        <v>3.6</v>
      </c>
      <c r="I67" t="n">
        <v>29.7</v>
      </c>
      <c r="J67" t="n">
        <v>16.9</v>
      </c>
      <c r="K67" t="n">
        <v>2.48</v>
      </c>
      <c r="L67" t="n">
        <v>0.42</v>
      </c>
      <c r="M67" t="n">
        <v>22.7</v>
      </c>
      <c r="N67" t="n">
        <v>0.8</v>
      </c>
      <c r="O67" t="n">
        <v>157.27</v>
      </c>
      <c r="P67" t="n">
        <v>3.3</v>
      </c>
      <c r="Q67" t="n">
        <v>394</v>
      </c>
    </row>
    <row r="68">
      <c r="A68" t="inlineStr">
        <is>
          <t>SNY</t>
        </is>
      </c>
      <c r="B68" t="inlineStr">
        <is>
          <t>Sanofi</t>
        </is>
      </c>
      <c r="C68" t="inlineStr">
        <is>
          <t>Pharma</t>
        </is>
      </c>
      <c r="D68" t="inlineStr">
        <is>
          <t>France</t>
        </is>
      </c>
      <c r="E68" t="n">
        <v>47.2</v>
      </c>
      <c r="F68" t="n">
        <v>9.6</v>
      </c>
      <c r="G68" t="n">
        <v>5.7</v>
      </c>
      <c r="I68" t="n">
        <v>7.1</v>
      </c>
      <c r="J68" t="n">
        <v>28.7</v>
      </c>
      <c r="K68" t="n">
        <v>1.04</v>
      </c>
      <c r="L68" t="n">
        <v>0.4</v>
      </c>
      <c r="M68" t="n">
        <v>27.1</v>
      </c>
      <c r="N68" t="n">
        <v>-6.1</v>
      </c>
      <c r="O68" t="n">
        <v>58.08</v>
      </c>
      <c r="P68" t="n">
        <v>4.3</v>
      </c>
      <c r="Q68" t="n">
        <v>465</v>
      </c>
    </row>
    <row r="69">
      <c r="A69" t="inlineStr">
        <is>
          <t>MUFG</t>
        </is>
      </c>
      <c r="B69" t="inlineStr">
        <is>
          <t xml:space="preserve">Mitsubishi UFJ Financial </t>
        </is>
      </c>
      <c r="C69" t="inlineStr">
        <is>
          <t>Japan</t>
        </is>
      </c>
      <c r="D69" t="inlineStr">
        <is>
          <t>Japan</t>
        </is>
      </c>
      <c r="E69" t="n">
        <v>17.88</v>
      </c>
      <c r="F69" t="n">
        <v>17.4</v>
      </c>
      <c r="I69" t="n">
        <v>4.8</v>
      </c>
      <c r="J69" t="n">
        <v>49.9</v>
      </c>
      <c r="K69" t="n">
        <v>-62590390632448</v>
      </c>
      <c r="L69" t="n">
        <v>0.14</v>
      </c>
      <c r="M69" t="n">
        <v>31</v>
      </c>
      <c r="N69" t="n">
        <v>48.2</v>
      </c>
      <c r="O69" t="n">
        <v>17.17</v>
      </c>
      <c r="P69" t="n">
        <v>3.5</v>
      </c>
      <c r="Q69" t="n">
        <v>276</v>
      </c>
    </row>
    <row r="70">
      <c r="A70" t="inlineStr">
        <is>
          <t>GD</t>
        </is>
      </c>
      <c r="B70" t="inlineStr">
        <is>
          <t>General Dynamics Corporat</t>
        </is>
      </c>
      <c r="C70" t="inlineStr">
        <is>
          <t>Defensa</t>
        </is>
      </c>
      <c r="D70" t="inlineStr">
        <is>
          <t>US</t>
        </is>
      </c>
      <c r="E70" t="n">
        <v>363.27</v>
      </c>
      <c r="F70" t="n">
        <v>21.1</v>
      </c>
      <c r="G70" t="n">
        <v>16.9</v>
      </c>
      <c r="H70" t="n">
        <v>3.6</v>
      </c>
      <c r="I70" t="n">
        <v>14.2</v>
      </c>
      <c r="J70" t="n">
        <v>10.5</v>
      </c>
      <c r="K70" t="n">
        <v>1.18</v>
      </c>
      <c r="L70" t="n">
        <v>0.41</v>
      </c>
      <c r="M70" t="n">
        <v>22</v>
      </c>
      <c r="N70" t="n">
        <v>39</v>
      </c>
      <c r="O70" t="n">
        <v>393.01</v>
      </c>
      <c r="P70" t="n">
        <v>3.8</v>
      </c>
      <c r="Q70" t="n">
        <v>165</v>
      </c>
    </row>
    <row r="71">
      <c r="A71" t="inlineStr">
        <is>
          <t>PBR</t>
        </is>
      </c>
      <c r="B71" t="inlineStr">
        <is>
          <t xml:space="preserve">Petroleo Brasileiro S.A. </t>
        </is>
      </c>
      <c r="C71" t="inlineStr">
        <is>
          <t>Latam</t>
        </is>
      </c>
      <c r="D71" t="inlineStr">
        <is>
          <t>Brazil</t>
        </is>
      </c>
      <c r="E71" t="n">
        <v>14.28</v>
      </c>
      <c r="F71" t="n">
        <v>5.6</v>
      </c>
      <c r="G71" t="n">
        <v>2.6</v>
      </c>
      <c r="H71" t="n">
        <v>88.2</v>
      </c>
      <c r="I71" t="n">
        <v>15.2</v>
      </c>
      <c r="J71" t="n">
        <v>36.2</v>
      </c>
      <c r="K71" t="n">
        <v>1.64</v>
      </c>
      <c r="L71" t="n">
        <v>-0.03</v>
      </c>
      <c r="M71" t="n">
        <v>31.4</v>
      </c>
      <c r="N71" t="n">
        <v>11.7</v>
      </c>
      <c r="O71" t="n">
        <v>14.79</v>
      </c>
      <c r="P71" t="n">
        <v>4.3</v>
      </c>
      <c r="Q71" t="n">
        <v>1176</v>
      </c>
    </row>
    <row r="72">
      <c r="A72" t="inlineStr">
        <is>
          <t>NESN.SW</t>
        </is>
      </c>
      <c r="B72" t="inlineStr">
        <is>
          <t>NESTLE N</t>
        </is>
      </c>
      <c r="C72" t="inlineStr">
        <is>
          <t>Defensivo</t>
        </is>
      </c>
      <c r="D72" t="inlineStr">
        <is>
          <t>Switzerland</t>
        </is>
      </c>
      <c r="E72" t="n">
        <v>72.47</v>
      </c>
      <c r="F72" t="n">
        <v>16.2</v>
      </c>
      <c r="G72" t="n">
        <v>14.1</v>
      </c>
      <c r="H72" t="n">
        <v>3.1</v>
      </c>
      <c r="I72" t="n">
        <v>27</v>
      </c>
      <c r="J72" t="n">
        <v>16.1</v>
      </c>
      <c r="K72" t="n">
        <v>3.42</v>
      </c>
      <c r="L72" t="n">
        <v>0.51</v>
      </c>
      <c r="M72" t="n">
        <v>21.3</v>
      </c>
      <c r="N72" t="n">
        <v>0.5</v>
      </c>
      <c r="O72" t="n">
        <v>87.06</v>
      </c>
      <c r="P72" t="n">
        <v>3.8</v>
      </c>
      <c r="Q72" t="n">
        <v>421</v>
      </c>
    </row>
    <row r="73">
      <c r="A73" t="inlineStr">
        <is>
          <t>WMT</t>
        </is>
      </c>
      <c r="B73" t="inlineStr">
        <is>
          <t>Walmart Inc.</t>
        </is>
      </c>
      <c r="C73" t="inlineStr">
        <is>
          <t>Defensivo</t>
        </is>
      </c>
      <c r="D73" t="inlineStr">
        <is>
          <t>US</t>
        </is>
      </c>
      <c r="E73" t="n">
        <v>117.73</v>
      </c>
      <c r="F73" t="n">
        <v>39.6</v>
      </c>
      <c r="G73" t="n">
        <v>23.5</v>
      </c>
      <c r="H73" t="n">
        <v>1.1</v>
      </c>
      <c r="I73" t="n">
        <v>18.9</v>
      </c>
      <c r="J73" t="n">
        <v>3.7</v>
      </c>
      <c r="K73" t="n">
        <v>1.35</v>
      </c>
      <c r="L73" t="n">
        <v>0.66</v>
      </c>
      <c r="M73" t="n">
        <v>25.3</v>
      </c>
      <c r="N73" t="n">
        <v>25.4</v>
      </c>
      <c r="O73" t="n">
        <v>123.83</v>
      </c>
      <c r="P73" t="n">
        <v>4.6</v>
      </c>
      <c r="Q73" t="n">
        <v>80</v>
      </c>
    </row>
    <row r="74">
      <c r="A74" t="inlineStr">
        <is>
          <t>PG</t>
        </is>
      </c>
      <c r="B74" t="inlineStr">
        <is>
          <t xml:space="preserve">Procter &amp; Gamble Company </t>
        </is>
      </c>
      <c r="C74" t="inlineStr">
        <is>
          <t>Defensivo</t>
        </is>
      </c>
      <c r="D74" t="inlineStr">
        <is>
          <t>US</t>
        </is>
      </c>
      <c r="E74" t="n">
        <v>150.15</v>
      </c>
      <c r="F74" t="n">
        <v>20.5</v>
      </c>
      <c r="G74" t="n">
        <v>15.2</v>
      </c>
      <c r="H74" t="n">
        <v>3.8</v>
      </c>
      <c r="I74" t="n">
        <v>25.2</v>
      </c>
      <c r="J74" t="n">
        <v>26.3</v>
      </c>
      <c r="K74" t="n">
        <v>1.04</v>
      </c>
      <c r="L74" t="n">
        <v>0.39</v>
      </c>
      <c r="M74" t="n">
        <v>19.1</v>
      </c>
      <c r="N74" t="n">
        <v>-6</v>
      </c>
      <c r="O74" t="n">
        <v>167.18</v>
      </c>
      <c r="P74" t="n">
        <v>4</v>
      </c>
      <c r="Q74" t="n">
        <v>282</v>
      </c>
    </row>
    <row r="75">
      <c r="A75" t="inlineStr">
        <is>
          <t>MRNA</t>
        </is>
      </c>
      <c r="B75" t="inlineStr">
        <is>
          <t>Moderna, Inc.</t>
        </is>
      </c>
      <c r="C75" t="inlineStr">
        <is>
          <t>Biotech</t>
        </is>
      </c>
      <c r="D75" t="inlineStr">
        <is>
          <t>US</t>
        </is>
      </c>
      <c r="E75" t="n">
        <v>48.71</v>
      </c>
      <c r="F75" t="n">
        <v>-7</v>
      </c>
      <c r="G75" t="n">
        <v>-4.7</v>
      </c>
      <c r="H75" t="n">
        <v>-10.4</v>
      </c>
      <c r="I75" t="n">
        <v>-23.5</v>
      </c>
      <c r="J75" t="n">
        <v>-25.6</v>
      </c>
      <c r="L75" t="n">
        <v>1.17</v>
      </c>
      <c r="M75" t="n">
        <v>68.8</v>
      </c>
      <c r="N75" t="n">
        <v>17.6</v>
      </c>
      <c r="O75" t="n">
        <v>37.7</v>
      </c>
      <c r="P75" t="n">
        <v>3</v>
      </c>
      <c r="Q75" t="n">
        <v>0</v>
      </c>
    </row>
    <row r="76">
      <c r="A76" t="inlineStr">
        <is>
          <t>NOK</t>
        </is>
      </c>
      <c r="B76" t="inlineStr">
        <is>
          <t>Nokia Corporation Sponsor</t>
        </is>
      </c>
      <c r="C76" t="inlineStr">
        <is>
          <t>Europa Tech</t>
        </is>
      </c>
      <c r="D76" t="inlineStr">
        <is>
          <t>Finland</t>
        </is>
      </c>
      <c r="E76" t="n">
        <v>6.77</v>
      </c>
      <c r="F76" t="n">
        <v>17.9</v>
      </c>
      <c r="G76" t="n">
        <v>14</v>
      </c>
      <c r="H76" t="n">
        <v>2.9</v>
      </c>
      <c r="I76" t="n">
        <v>3.4</v>
      </c>
      <c r="J76" t="n">
        <v>6.9</v>
      </c>
      <c r="K76" t="n">
        <v>-0.64</v>
      </c>
      <c r="L76" t="n">
        <v>0.51</v>
      </c>
      <c r="M76" t="n">
        <v>40.5</v>
      </c>
      <c r="N76" t="n">
        <v>54.2</v>
      </c>
      <c r="O76" t="n">
        <v>6.7</v>
      </c>
      <c r="P76" t="n">
        <v>3.5</v>
      </c>
      <c r="Q76" t="n">
        <v>232</v>
      </c>
    </row>
    <row r="77">
      <c r="A77" t="inlineStr">
        <is>
          <t>SHEL</t>
        </is>
      </c>
      <c r="B77" t="inlineStr">
        <is>
          <t>Shell PLC</t>
        </is>
      </c>
      <c r="C77" t="inlineStr">
        <is>
          <t>Energia Oil</t>
        </is>
      </c>
      <c r="D77" t="inlineStr">
        <is>
          <t>UK</t>
        </is>
      </c>
      <c r="E77" t="n">
        <v>73.75</v>
      </c>
      <c r="F77" t="n">
        <v>11.5</v>
      </c>
      <c r="G77" t="n">
        <v>9.699999999999999</v>
      </c>
      <c r="H77" t="n">
        <v>8.4</v>
      </c>
      <c r="I77" t="n">
        <v>6.5</v>
      </c>
      <c r="J77" t="n">
        <v>11.3</v>
      </c>
      <c r="K77" t="n">
        <v>0.84</v>
      </c>
      <c r="L77" t="n">
        <v>-0.1</v>
      </c>
      <c r="M77" t="n">
        <v>22.7</v>
      </c>
      <c r="N77" t="n">
        <v>17.5</v>
      </c>
      <c r="O77" t="n">
        <v>83.16</v>
      </c>
      <c r="P77" t="n">
        <v>3.8</v>
      </c>
      <c r="Q77" t="n">
        <v>388</v>
      </c>
    </row>
    <row r="78">
      <c r="A78" t="inlineStr">
        <is>
          <t>CMCSA</t>
        </is>
      </c>
      <c r="B78" t="inlineStr">
        <is>
          <t>Comcast Corporation</t>
        </is>
      </c>
      <c r="C78" t="inlineStr">
        <is>
          <t>Streaming Media</t>
        </is>
      </c>
      <c r="D78" t="inlineStr">
        <is>
          <t>US</t>
        </is>
      </c>
      <c r="E78" t="n">
        <v>29.3</v>
      </c>
      <c r="F78" t="n">
        <v>7.6</v>
      </c>
      <c r="G78" t="n">
        <v>5.2</v>
      </c>
      <c r="H78" t="n">
        <v>3.5</v>
      </c>
      <c r="I78" t="n">
        <v>19.3</v>
      </c>
      <c r="J78" t="n">
        <v>17.7</v>
      </c>
      <c r="K78" t="n">
        <v>2.36</v>
      </c>
      <c r="L78" t="n">
        <v>0.8100000000000001</v>
      </c>
      <c r="M78" t="n">
        <v>27.7</v>
      </c>
      <c r="N78" t="n">
        <v>-13.5</v>
      </c>
      <c r="O78" t="n">
        <v>33.76</v>
      </c>
      <c r="P78" t="n">
        <v>3.5</v>
      </c>
      <c r="Q78" t="n">
        <v>451</v>
      </c>
    </row>
    <row r="79">
      <c r="A79" t="inlineStr">
        <is>
          <t>NOC</t>
        </is>
      </c>
      <c r="B79" t="inlineStr">
        <is>
          <t>Northrop Grumman Corporat</t>
        </is>
      </c>
      <c r="C79" t="inlineStr">
        <is>
          <t>Defensa</t>
        </is>
      </c>
      <c r="D79" t="inlineStr">
        <is>
          <t>US</t>
        </is>
      </c>
      <c r="E79" t="n">
        <v>672.95</v>
      </c>
      <c r="F79" t="n">
        <v>23.3</v>
      </c>
      <c r="G79" t="n">
        <v>17</v>
      </c>
      <c r="H79" t="n">
        <v>2.4</v>
      </c>
      <c r="I79" t="n">
        <v>20.9</v>
      </c>
      <c r="J79" t="n">
        <v>13.2</v>
      </c>
      <c r="K79" t="n">
        <v>2.36</v>
      </c>
      <c r="L79" t="n">
        <v>0.05</v>
      </c>
      <c r="M79" t="n">
        <v>28.5</v>
      </c>
      <c r="N79" t="n">
        <v>37.7</v>
      </c>
      <c r="O79" t="n">
        <v>680.4400000000001</v>
      </c>
      <c r="P79" t="n">
        <v>3.8</v>
      </c>
      <c r="Q79" t="n">
        <v>137</v>
      </c>
    </row>
    <row r="80">
      <c r="A80" t="inlineStr">
        <is>
          <t>PLD</t>
        </is>
      </c>
      <c r="B80" t="inlineStr">
        <is>
          <t>Prologis, Inc.</t>
        </is>
      </c>
      <c r="C80" t="inlineStr">
        <is>
          <t>REITs</t>
        </is>
      </c>
      <c r="D80" t="inlineStr">
        <is>
          <t>US</t>
        </is>
      </c>
      <c r="E80" t="n">
        <v>127.15</v>
      </c>
      <c r="F80" t="n">
        <v>38.5</v>
      </c>
      <c r="G80" t="n">
        <v>24.9</v>
      </c>
      <c r="I80" t="n">
        <v>4.9</v>
      </c>
      <c r="J80" t="n">
        <v>41.3</v>
      </c>
      <c r="K80" t="n">
        <v>5.27</v>
      </c>
      <c r="L80" t="n">
        <v>1.42</v>
      </c>
      <c r="M80" t="n">
        <v>26.9</v>
      </c>
      <c r="N80" t="n">
        <v>10.7</v>
      </c>
      <c r="O80" t="n">
        <v>138.25</v>
      </c>
      <c r="P80" t="n">
        <v>4</v>
      </c>
      <c r="Q80" t="n">
        <v>318</v>
      </c>
    </row>
    <row r="81">
      <c r="A81" t="inlineStr">
        <is>
          <t>GOLD</t>
        </is>
      </c>
      <c r="B81" t="inlineStr">
        <is>
          <t>Gold.com, Inc.</t>
        </is>
      </c>
      <c r="C81" t="inlineStr">
        <is>
          <t>Oro</t>
        </is>
      </c>
      <c r="D81" t="inlineStr">
        <is>
          <t>Canada</t>
        </is>
      </c>
      <c r="E81" t="n">
        <v>43.11</v>
      </c>
      <c r="G81" t="n">
        <v>25.3</v>
      </c>
      <c r="H81" t="n">
        <v>27.6</v>
      </c>
      <c r="I81" t="n">
        <v>0.8</v>
      </c>
      <c r="J81" t="n">
        <v>0.1</v>
      </c>
      <c r="K81" t="n">
        <v>9.449999999999999</v>
      </c>
      <c r="L81" t="n">
        <v>0.45</v>
      </c>
      <c r="M81" t="n">
        <v>45.7</v>
      </c>
      <c r="N81" t="n">
        <v>62.2</v>
      </c>
      <c r="O81" t="n">
        <v>46.25</v>
      </c>
      <c r="P81" t="n">
        <v>4.2</v>
      </c>
      <c r="Q81" t="n">
        <v>186</v>
      </c>
    </row>
    <row r="82">
      <c r="A82" t="inlineStr">
        <is>
          <t>ALB</t>
        </is>
      </c>
      <c r="B82" t="inlineStr">
        <is>
          <t>Albemarle Corporation</t>
        </is>
      </c>
      <c r="C82" t="inlineStr">
        <is>
          <t>Cobre Litio</t>
        </is>
      </c>
      <c r="D82" t="inlineStr">
        <is>
          <t>US</t>
        </is>
      </c>
      <c r="E82" t="n">
        <v>189.51</v>
      </c>
      <c r="F82" t="n">
        <v>82.8</v>
      </c>
      <c r="G82" t="n">
        <v>38.2</v>
      </c>
      <c r="H82" t="n">
        <v>-0.7</v>
      </c>
      <c r="I82" t="n">
        <v>0.2</v>
      </c>
      <c r="J82" t="n">
        <v>-2.2</v>
      </c>
      <c r="K82" t="n">
        <v>2.63</v>
      </c>
      <c r="L82" t="n">
        <v>1.41</v>
      </c>
      <c r="M82" t="n">
        <v>62.5</v>
      </c>
      <c r="N82" t="n">
        <v>117.9</v>
      </c>
      <c r="O82" t="n">
        <v>165.06</v>
      </c>
      <c r="P82" t="n">
        <v>3.8</v>
      </c>
      <c r="Q82" t="n">
        <v>85</v>
      </c>
    </row>
    <row r="83">
      <c r="A83" t="inlineStr">
        <is>
          <t>RTX</t>
        </is>
      </c>
      <c r="B83" t="inlineStr">
        <is>
          <t>RTX Corporation</t>
        </is>
      </c>
      <c r="C83" t="inlineStr">
        <is>
          <t>Defensa</t>
        </is>
      </c>
      <c r="D83" t="inlineStr">
        <is>
          <t>US</t>
        </is>
      </c>
      <c r="E83" t="n">
        <v>195.93</v>
      </c>
      <c r="F83" t="n">
        <v>29.2</v>
      </c>
      <c r="G83" t="n">
        <v>20.7</v>
      </c>
      <c r="H83" t="n">
        <v>1.6</v>
      </c>
      <c r="I83" t="n">
        <v>8.6</v>
      </c>
      <c r="J83" t="n">
        <v>12.4</v>
      </c>
      <c r="K83" t="n">
        <v>2.4</v>
      </c>
      <c r="L83" t="n">
        <v>0.44</v>
      </c>
      <c r="M83" t="n">
        <v>27.3</v>
      </c>
      <c r="N83" t="n">
        <v>59.3</v>
      </c>
      <c r="O83" t="n">
        <v>202.83</v>
      </c>
      <c r="P83" t="n">
        <v>3.9</v>
      </c>
      <c r="Q83" t="n">
        <v>139</v>
      </c>
    </row>
    <row r="84">
      <c r="A84" t="inlineStr">
        <is>
          <t>NU</t>
        </is>
      </c>
      <c r="B84" t="inlineStr">
        <is>
          <t>Nu Holdings Ltd.</t>
        </is>
      </c>
      <c r="C84" t="inlineStr">
        <is>
          <t>Fintech</t>
        </is>
      </c>
      <c r="D84" t="inlineStr">
        <is>
          <t>Brazil</t>
        </is>
      </c>
      <c r="E84" t="n">
        <v>18.04</v>
      </c>
      <c r="F84" t="n">
        <v>19.8</v>
      </c>
      <c r="I84" t="n">
        <v>22.2</v>
      </c>
      <c r="J84" t="n">
        <v>58.2</v>
      </c>
      <c r="K84" t="n">
        <v>-9903684608</v>
      </c>
      <c r="L84" t="n">
        <v>1.08</v>
      </c>
      <c r="M84" t="n">
        <v>44.5</v>
      </c>
      <c r="N84" t="n">
        <v>46.2</v>
      </c>
      <c r="O84" t="n">
        <v>19.82</v>
      </c>
      <c r="P84" t="n">
        <v>4.6</v>
      </c>
      <c r="Q84" t="n">
        <v>0</v>
      </c>
    </row>
    <row r="85">
      <c r="A85" t="inlineStr">
        <is>
          <t>SMFG</t>
        </is>
      </c>
      <c r="B85" t="inlineStr">
        <is>
          <t>Sumitomo Mitsui Financial</t>
        </is>
      </c>
      <c r="C85" t="inlineStr">
        <is>
          <t>Japan</t>
        </is>
      </c>
      <c r="D85" t="inlineStr">
        <is>
          <t>Japan</t>
        </is>
      </c>
      <c r="E85" t="n">
        <v>20.92</v>
      </c>
      <c r="F85" t="n">
        <v>51</v>
      </c>
      <c r="I85" t="n">
        <v>3.8</v>
      </c>
      <c r="J85" t="n">
        <v>49.3</v>
      </c>
      <c r="K85" t="n">
        <v>-43461243830272</v>
      </c>
      <c r="L85" t="n">
        <v>0.16</v>
      </c>
      <c r="M85" t="n">
        <v>30.9</v>
      </c>
      <c r="N85" t="n">
        <v>45.7</v>
      </c>
      <c r="O85" t="n">
        <v>23.47</v>
      </c>
      <c r="P85" t="n">
        <v>5</v>
      </c>
      <c r="Q85" t="n">
        <v>263</v>
      </c>
    </row>
    <row r="86">
      <c r="A86" t="inlineStr">
        <is>
          <t>TSM</t>
        </is>
      </c>
      <c r="B86" t="inlineStr">
        <is>
          <t>Taiwan Semiconductor Manu</t>
        </is>
      </c>
      <c r="C86" t="inlineStr">
        <is>
          <t>Semiconductores</t>
        </is>
      </c>
      <c r="D86" t="inlineStr">
        <is>
          <t>Taiwan</t>
        </is>
      </c>
      <c r="E86" t="n">
        <v>334.87</v>
      </c>
      <c r="F86" t="n">
        <v>18.6</v>
      </c>
      <c r="G86" t="n">
        <v>2.5</v>
      </c>
      <c r="H86" t="n">
        <v>35.6</v>
      </c>
      <c r="I86" t="n">
        <v>28.2</v>
      </c>
      <c r="J86" t="n">
        <v>53.8</v>
      </c>
      <c r="K86" t="n">
        <v>-0.79</v>
      </c>
      <c r="L86" t="n">
        <v>1.27</v>
      </c>
      <c r="M86" t="n">
        <v>40.8</v>
      </c>
      <c r="N86" t="n">
        <v>53</v>
      </c>
      <c r="O86" t="n">
        <v>419.81</v>
      </c>
      <c r="P86" t="n">
        <v>4.6</v>
      </c>
      <c r="Q86" t="n">
        <v>101</v>
      </c>
    </row>
    <row r="87">
      <c r="A87" t="inlineStr">
        <is>
          <t>MU</t>
        </is>
      </c>
      <c r="B87" t="inlineStr">
        <is>
          <t>Micron Technology, Inc.</t>
        </is>
      </c>
      <c r="C87" t="inlineStr">
        <is>
          <t>Semiconductores</t>
        </is>
      </c>
      <c r="D87" t="inlineStr">
        <is>
          <t>US</t>
        </is>
      </c>
      <c r="E87" t="n">
        <v>399.65</v>
      </c>
      <c r="F87" t="n">
        <v>9.4</v>
      </c>
      <c r="G87" t="n">
        <v>20.3</v>
      </c>
      <c r="H87" t="n">
        <v>0.1</v>
      </c>
      <c r="I87" t="n">
        <v>18</v>
      </c>
      <c r="J87" t="n">
        <v>45</v>
      </c>
      <c r="K87" t="n">
        <v>0.1</v>
      </c>
      <c r="L87" t="n">
        <v>1.5</v>
      </c>
      <c r="M87" t="n">
        <v>63.5</v>
      </c>
      <c r="N87" t="n">
        <v>288.6</v>
      </c>
      <c r="O87" t="n">
        <v>354.21</v>
      </c>
      <c r="P87" t="n">
        <v>4.4</v>
      </c>
      <c r="Q87" t="n">
        <v>12</v>
      </c>
    </row>
    <row r="88">
      <c r="A88" t="inlineStr">
        <is>
          <t>KB</t>
        </is>
      </c>
      <c r="B88" t="inlineStr">
        <is>
          <t>KB Financial Group Inc</t>
        </is>
      </c>
      <c r="C88" t="inlineStr">
        <is>
          <t>Korea</t>
        </is>
      </c>
      <c r="D88" t="inlineStr">
        <is>
          <t>Korea</t>
        </is>
      </c>
      <c r="E88" t="n">
        <v>94.52</v>
      </c>
      <c r="F88" t="n">
        <v>8.300000000000001</v>
      </c>
      <c r="I88" t="n">
        <v>7.6</v>
      </c>
      <c r="J88" t="n">
        <v>58.6</v>
      </c>
      <c r="K88" t="n">
        <v>36472820334592</v>
      </c>
      <c r="L88" t="n">
        <v>0.6</v>
      </c>
      <c r="M88" t="n">
        <v>35.6</v>
      </c>
      <c r="N88" t="n">
        <v>56.5</v>
      </c>
      <c r="O88" t="n">
        <v>113.58</v>
      </c>
      <c r="P88" t="n">
        <v>3</v>
      </c>
      <c r="Q88" t="n">
        <v>266</v>
      </c>
    </row>
    <row r="89">
      <c r="A89" t="inlineStr">
        <is>
          <t>COST</t>
        </is>
      </c>
      <c r="B89" t="inlineStr">
        <is>
          <t>Costco Wholesale Corporat</t>
        </is>
      </c>
      <c r="C89" t="inlineStr">
        <is>
          <t>Defensivo</t>
        </is>
      </c>
      <c r="D89" t="inlineStr">
        <is>
          <t>US</t>
        </is>
      </c>
      <c r="E89" t="n">
        <v>983.25</v>
      </c>
      <c r="F89" t="n">
        <v>44.3</v>
      </c>
      <c r="G89" t="n">
        <v>32.6</v>
      </c>
      <c r="H89" t="n">
        <v>1.6</v>
      </c>
      <c r="I89" t="n">
        <v>24.3</v>
      </c>
      <c r="J89" t="n">
        <v>3.7</v>
      </c>
      <c r="K89" t="n">
        <v>-0.6899999999999999</v>
      </c>
      <c r="L89" t="n">
        <v>1.01</v>
      </c>
      <c r="M89" t="n">
        <v>22.1</v>
      </c>
      <c r="N89" t="n">
        <v>5.2</v>
      </c>
      <c r="O89" t="n">
        <v>1030.19</v>
      </c>
      <c r="P89" t="n">
        <v>4.1</v>
      </c>
      <c r="Q89" t="n">
        <v>53</v>
      </c>
    </row>
    <row r="90">
      <c r="A90" t="inlineStr">
        <is>
          <t>NFLX</t>
        </is>
      </c>
      <c r="B90" t="inlineStr">
        <is>
          <t>Netflix, Inc.</t>
        </is>
      </c>
      <c r="C90" t="inlineStr">
        <is>
          <t>Streaming Media</t>
        </is>
      </c>
      <c r="D90" t="inlineStr">
        <is>
          <t>US</t>
        </is>
      </c>
      <c r="E90" t="n">
        <v>86.12</v>
      </c>
      <c r="F90" t="n">
        <v>22.5</v>
      </c>
      <c r="G90" t="n">
        <v>27.2</v>
      </c>
      <c r="H90" t="n">
        <v>6.8</v>
      </c>
      <c r="I90" t="n">
        <v>34.2</v>
      </c>
      <c r="J90" t="n">
        <v>24.5</v>
      </c>
      <c r="K90" t="n">
        <v>0.58</v>
      </c>
      <c r="L90" t="n">
        <v>1.71</v>
      </c>
      <c r="M90" t="n">
        <v>32.4</v>
      </c>
      <c r="N90" t="n">
        <v>-11.9</v>
      </c>
      <c r="O90" t="n">
        <v>112.77</v>
      </c>
      <c r="P90" t="n">
        <v>4</v>
      </c>
      <c r="Q90" t="n">
        <v>0</v>
      </c>
    </row>
    <row r="91">
      <c r="A91" t="inlineStr">
        <is>
          <t>LMT</t>
        </is>
      </c>
      <c r="B91" t="inlineStr">
        <is>
          <t>Lockheed Martin Corporati</t>
        </is>
      </c>
      <c r="C91" t="inlineStr">
        <is>
          <t>Defensa</t>
        </is>
      </c>
      <c r="D91" t="inlineStr">
        <is>
          <t>US</t>
        </is>
      </c>
      <c r="E91" t="n">
        <v>590.8200000000001</v>
      </c>
      <c r="F91" t="n">
        <v>20.3</v>
      </c>
      <c r="G91" t="n">
        <v>21.4</v>
      </c>
      <c r="H91" t="n">
        <v>3.2</v>
      </c>
      <c r="I91" t="n">
        <v>50.2</v>
      </c>
      <c r="J91" t="n">
        <v>11.7</v>
      </c>
      <c r="K91" t="n">
        <v>2.58</v>
      </c>
      <c r="L91" t="n">
        <v>0.24</v>
      </c>
      <c r="M91" t="n">
        <v>27.6</v>
      </c>
      <c r="N91" t="n">
        <v>22.4</v>
      </c>
      <c r="O91" t="n">
        <v>569.6799999999999</v>
      </c>
      <c r="P91" t="n">
        <v>3.4</v>
      </c>
      <c r="Q91" t="n">
        <v>234</v>
      </c>
    </row>
    <row r="92">
      <c r="A92" t="inlineStr">
        <is>
          <t>BP</t>
        </is>
      </c>
      <c r="B92" t="inlineStr">
        <is>
          <t>BP p.l.c.</t>
        </is>
      </c>
      <c r="C92" t="inlineStr">
        <is>
          <t>Energia Oil</t>
        </is>
      </c>
      <c r="D92" t="inlineStr">
        <is>
          <t>UK</t>
        </is>
      </c>
      <c r="E92" t="n">
        <v>36.53</v>
      </c>
      <c r="F92" t="n">
        <v>13.2</v>
      </c>
      <c r="G92" t="n">
        <v>21.8</v>
      </c>
      <c r="H92" t="n">
        <v>12.8</v>
      </c>
      <c r="I92" t="n">
        <v>2.8</v>
      </c>
      <c r="J92" t="n">
        <v>10</v>
      </c>
      <c r="K92" t="n">
        <v>1.39</v>
      </c>
      <c r="L92" t="n">
        <v>0.03</v>
      </c>
      <c r="M92" t="n">
        <v>29.3</v>
      </c>
      <c r="N92" t="n">
        <v>23.1</v>
      </c>
      <c r="O92" t="n">
        <v>38.73</v>
      </c>
      <c r="P92" t="n">
        <v>3.6</v>
      </c>
      <c r="Q92" t="n">
        <v>547</v>
      </c>
    </row>
    <row r="93">
      <c r="A93" t="inlineStr">
        <is>
          <t>BA</t>
        </is>
      </c>
      <c r="B93" t="inlineStr">
        <is>
          <t>Boeing Company (The)</t>
        </is>
      </c>
      <c r="C93" t="inlineStr">
        <is>
          <t>Defensa</t>
        </is>
      </c>
      <c r="D93" t="inlineStr">
        <is>
          <t>US</t>
        </is>
      </c>
      <c r="E93" t="n">
        <v>252.15</v>
      </c>
      <c r="F93" t="n">
        <v>108</v>
      </c>
      <c r="G93" t="n">
        <v>-36.6</v>
      </c>
      <c r="H93" t="n">
        <v>-2.4</v>
      </c>
      <c r="J93" t="n">
        <v>-20.4</v>
      </c>
      <c r="L93" t="n">
        <v>1.16</v>
      </c>
      <c r="M93" t="n">
        <v>37.8</v>
      </c>
      <c r="N93" t="n">
        <v>43.2</v>
      </c>
      <c r="O93" t="n">
        <v>258.04</v>
      </c>
      <c r="P93" t="n">
        <v>4.4</v>
      </c>
      <c r="Q93" t="n">
        <v>0</v>
      </c>
    </row>
    <row r="94">
      <c r="A94" t="inlineStr">
        <is>
          <t>NVDA</t>
        </is>
      </c>
      <c r="B94" t="inlineStr">
        <is>
          <t>NVIDIA Corporation</t>
        </is>
      </c>
      <c r="C94" t="inlineStr">
        <is>
          <t>Semiconductores</t>
        </is>
      </c>
      <c r="D94" t="inlineStr">
        <is>
          <t>US</t>
        </is>
      </c>
      <c r="E94" t="n">
        <v>187.67</v>
      </c>
      <c r="F94" t="n">
        <v>24.5</v>
      </c>
      <c r="G94" t="n">
        <v>40</v>
      </c>
      <c r="H94" t="n">
        <v>1.2</v>
      </c>
      <c r="I94" t="n">
        <v>85.90000000000001</v>
      </c>
      <c r="J94" t="n">
        <v>63.2</v>
      </c>
      <c r="K94" t="n">
        <v>-0.44</v>
      </c>
      <c r="L94" t="n">
        <v>2.31</v>
      </c>
      <c r="M94" t="n">
        <v>48.5</v>
      </c>
      <c r="N94" t="n">
        <v>31.6</v>
      </c>
      <c r="O94" t="n">
        <v>253.19</v>
      </c>
      <c r="P94" t="n">
        <v>4.7</v>
      </c>
      <c r="Q94" t="n">
        <v>2</v>
      </c>
    </row>
    <row r="95">
      <c r="A95" t="inlineStr">
        <is>
          <t>ABBNY</t>
        </is>
      </c>
      <c r="B95" t="inlineStr">
        <is>
          <t>ABB Ltd.</t>
        </is>
      </c>
      <c r="C95" t="inlineStr">
        <is>
          <t>Europa Industriales</t>
        </is>
      </c>
      <c r="D95" t="inlineStr">
        <is>
          <t>Switzerland</t>
        </is>
      </c>
      <c r="E95" t="n">
        <v>76.44</v>
      </c>
      <c r="F95" t="n">
        <v>26.9</v>
      </c>
      <c r="G95" t="n">
        <v>20.7</v>
      </c>
      <c r="H95" t="n">
        <v>2.4</v>
      </c>
      <c r="I95" t="n">
        <v>24</v>
      </c>
      <c r="J95" t="n">
        <v>18.4</v>
      </c>
      <c r="K95" t="n">
        <v>0.53</v>
      </c>
      <c r="L95" t="n">
        <v>0.85</v>
      </c>
      <c r="M95" t="n">
        <v>25.7</v>
      </c>
      <c r="N95" t="n">
        <v>31.1</v>
      </c>
      <c r="O95" t="n">
        <v>65.25</v>
      </c>
      <c r="P95" t="n">
        <v>2.6</v>
      </c>
      <c r="Q95" t="n">
        <v>134</v>
      </c>
    </row>
    <row r="96">
      <c r="A96" t="inlineStr">
        <is>
          <t>TECK</t>
        </is>
      </c>
      <c r="B96" t="inlineStr">
        <is>
          <t>Teck Resources Ltd</t>
        </is>
      </c>
      <c r="C96" t="inlineStr">
        <is>
          <t>Cobre Litio</t>
        </is>
      </c>
      <c r="D96" t="inlineStr">
        <is>
          <t>Canada</t>
        </is>
      </c>
      <c r="E96" t="n">
        <v>53.01</v>
      </c>
      <c r="F96" t="n">
        <v>23.7</v>
      </c>
      <c r="G96" t="n">
        <v>9.5</v>
      </c>
      <c r="H96" t="n">
        <v>-1.4</v>
      </c>
      <c r="I96" t="n">
        <v>2.4</v>
      </c>
      <c r="J96" t="n">
        <v>13.7</v>
      </c>
      <c r="K96" t="n">
        <v>1.46</v>
      </c>
      <c r="L96" t="n">
        <v>1.54</v>
      </c>
      <c r="M96" t="n">
        <v>47.1</v>
      </c>
      <c r="N96" t="n">
        <v>23.1</v>
      </c>
      <c r="O96" t="n">
        <v>47.51</v>
      </c>
      <c r="P96" t="n">
        <v>3.5</v>
      </c>
      <c r="Q96" t="n">
        <v>69</v>
      </c>
    </row>
    <row r="97">
      <c r="A97" t="inlineStr">
        <is>
          <t>DIS</t>
        </is>
      </c>
      <c r="B97" t="inlineStr">
        <is>
          <t>Walt Disney Company (The)</t>
        </is>
      </c>
      <c r="C97" t="inlineStr">
        <is>
          <t>Streaming Media</t>
        </is>
      </c>
      <c r="D97" t="inlineStr">
        <is>
          <t>US</t>
        </is>
      </c>
      <c r="E97" t="n">
        <v>110.98</v>
      </c>
      <c r="F97" t="n">
        <v>15.1</v>
      </c>
      <c r="G97" t="n">
        <v>12.5</v>
      </c>
      <c r="H97" t="n">
        <v>3.5</v>
      </c>
      <c r="I97" t="n">
        <v>9.800000000000001</v>
      </c>
      <c r="J97" t="n">
        <v>11.9</v>
      </c>
      <c r="K97" t="n">
        <v>2.05</v>
      </c>
      <c r="L97" t="n">
        <v>1.44</v>
      </c>
      <c r="M97" t="n">
        <v>30.1</v>
      </c>
      <c r="N97" t="n">
        <v>0</v>
      </c>
      <c r="O97" t="n">
        <v>132.2</v>
      </c>
      <c r="P97" t="n">
        <v>4.4</v>
      </c>
      <c r="Q97" t="n">
        <v>135</v>
      </c>
    </row>
    <row r="98">
      <c r="A98" t="inlineStr">
        <is>
          <t>TOELY</t>
        </is>
      </c>
      <c r="B98" t="inlineStr">
        <is>
          <t>Tokyo Electron Ltd.</t>
        </is>
      </c>
      <c r="C98" t="inlineStr">
        <is>
          <t>Semiconductores</t>
        </is>
      </c>
      <c r="D98" t="inlineStr">
        <is>
          <t>Japan</t>
        </is>
      </c>
      <c r="E98" t="n">
        <v>132.8</v>
      </c>
      <c r="G98" t="n">
        <v>-0.5</v>
      </c>
      <c r="H98" t="n">
        <v>133.4</v>
      </c>
      <c r="I98" t="n">
        <v>22.8</v>
      </c>
      <c r="J98" t="n">
        <v>25.1</v>
      </c>
      <c r="K98" t="n">
        <v>-0.6</v>
      </c>
      <c r="L98" t="n">
        <v>1.24</v>
      </c>
      <c r="M98" t="n">
        <v>48.5</v>
      </c>
      <c r="N98" t="n">
        <v>54</v>
      </c>
      <c r="P98" t="n">
        <v>3</v>
      </c>
      <c r="Q98" t="n">
        <v>149</v>
      </c>
    </row>
    <row r="99">
      <c r="A99" t="inlineStr">
        <is>
          <t>BNTX</t>
        </is>
      </c>
      <c r="B99" t="inlineStr">
        <is>
          <t>BioNTech SE</t>
        </is>
      </c>
      <c r="C99" t="inlineStr">
        <is>
          <t>Biotech</t>
        </is>
      </c>
      <c r="D99" t="inlineStr">
        <is>
          <t>Germany</t>
        </is>
      </c>
      <c r="E99" t="n">
        <v>115.98</v>
      </c>
      <c r="F99" t="n">
        <v>-41.2</v>
      </c>
      <c r="G99" t="n">
        <v>-29.1</v>
      </c>
      <c r="H99" t="n">
        <v>-2.2</v>
      </c>
      <c r="I99" t="n">
        <v>-2.4</v>
      </c>
      <c r="J99" t="n">
        <v>-2.2</v>
      </c>
      <c r="L99" t="n">
        <v>1.41</v>
      </c>
      <c r="M99" t="n">
        <v>48.9</v>
      </c>
      <c r="N99" t="n">
        <v>-1.8</v>
      </c>
      <c r="O99" t="n">
        <v>140.82</v>
      </c>
      <c r="P99" t="n">
        <v>4.5</v>
      </c>
      <c r="Q99" t="n">
        <v>0</v>
      </c>
    </row>
    <row r="100">
      <c r="A100" t="inlineStr">
        <is>
          <t>AES</t>
        </is>
      </c>
      <c r="B100" t="inlineStr">
        <is>
          <t>The AES Corporation</t>
        </is>
      </c>
      <c r="C100" t="inlineStr">
        <is>
          <t>Energia Renovables</t>
        </is>
      </c>
      <c r="D100" t="inlineStr">
        <is>
          <t>US</t>
        </is>
      </c>
      <c r="E100" t="n">
        <v>14.25</v>
      </c>
      <c r="F100" t="n">
        <v>6.2</v>
      </c>
      <c r="G100" t="n">
        <v>14.6</v>
      </c>
      <c r="H100" t="n">
        <v>-36.4</v>
      </c>
      <c r="I100" t="n">
        <v>4.1</v>
      </c>
      <c r="J100" t="n">
        <v>20.5</v>
      </c>
      <c r="K100" t="n">
        <v>9.4</v>
      </c>
      <c r="L100" t="n">
        <v>0.97</v>
      </c>
      <c r="M100" t="n">
        <v>49.2</v>
      </c>
      <c r="N100" t="n">
        <v>30.4</v>
      </c>
      <c r="O100" t="n">
        <v>15.21</v>
      </c>
      <c r="P100" t="n">
        <v>3.7</v>
      </c>
      <c r="Q100" t="n">
        <v>494</v>
      </c>
    </row>
    <row r="101">
      <c r="A101" t="inlineStr">
        <is>
          <t>DEO</t>
        </is>
      </c>
      <c r="B101" t="inlineStr">
        <is>
          <t>Diageo plc</t>
        </is>
      </c>
      <c r="C101" t="inlineStr">
        <is>
          <t>Defensivo</t>
        </is>
      </c>
      <c r="D101" t="inlineStr">
        <is>
          <t>UK</t>
        </is>
      </c>
      <c r="E101" t="n">
        <v>91.48999999999999</v>
      </c>
      <c r="F101" t="n">
        <v>13.7</v>
      </c>
      <c r="G101" t="n">
        <v>36.2</v>
      </c>
      <c r="H101" t="n">
        <v>3.3</v>
      </c>
      <c r="I101" t="n">
        <v>16.1</v>
      </c>
      <c r="J101" t="n">
        <v>27.3</v>
      </c>
      <c r="K101" t="n">
        <v>3.5</v>
      </c>
      <c r="L101" t="n">
        <v>0.15</v>
      </c>
      <c r="M101" t="n">
        <v>26.9</v>
      </c>
      <c r="N101" t="n">
        <v>-23.4</v>
      </c>
      <c r="O101" t="n">
        <v>104.86</v>
      </c>
      <c r="P101" t="n">
        <v>3.6</v>
      </c>
      <c r="Q101" t="n">
        <v>452</v>
      </c>
    </row>
    <row r="102">
      <c r="A102" t="inlineStr">
        <is>
          <t>SPOT</t>
        </is>
      </c>
      <c r="B102" t="inlineStr">
        <is>
          <t>Spotify Technology S.A.</t>
        </is>
      </c>
      <c r="C102" t="inlineStr">
        <is>
          <t>Streaming Media</t>
        </is>
      </c>
      <c r="D102" t="inlineStr">
        <is>
          <t>Sweden</t>
        </is>
      </c>
      <c r="E102" t="n">
        <v>513.21</v>
      </c>
      <c r="F102" t="n">
        <v>35.5</v>
      </c>
      <c r="G102" t="n">
        <v>49.3</v>
      </c>
      <c r="H102" t="n">
        <v>0.7</v>
      </c>
      <c r="I102" t="n">
        <v>18.1</v>
      </c>
      <c r="J102" t="n">
        <v>13.6</v>
      </c>
      <c r="K102" t="n">
        <v>-2.57</v>
      </c>
      <c r="L102" t="n">
        <v>1.66</v>
      </c>
      <c r="M102" t="n">
        <v>44</v>
      </c>
      <c r="N102" t="n">
        <v>0.5</v>
      </c>
      <c r="O102" t="n">
        <v>735.1900000000001</v>
      </c>
      <c r="P102" t="n">
        <v>4.3</v>
      </c>
      <c r="Q102" t="n">
        <v>0</v>
      </c>
    </row>
    <row r="103">
      <c r="A103" t="inlineStr">
        <is>
          <t>ATLKY</t>
        </is>
      </c>
      <c r="B103" t="inlineStr">
        <is>
          <t>Atlas Copco AB</t>
        </is>
      </c>
      <c r="C103" t="inlineStr">
        <is>
          <t>Europa Industriales</t>
        </is>
      </c>
      <c r="D103" t="inlineStr">
        <is>
          <t>Sweden</t>
        </is>
      </c>
      <c r="E103" t="n">
        <v>21.29</v>
      </c>
      <c r="F103" t="n">
        <v>33.2</v>
      </c>
      <c r="H103" t="n">
        <v>28.4</v>
      </c>
      <c r="I103" t="n">
        <v>21.1</v>
      </c>
      <c r="L103" t="n">
        <v>0.97</v>
      </c>
      <c r="M103" t="n">
        <v>34.5</v>
      </c>
      <c r="N103" t="n">
        <v>23.2</v>
      </c>
      <c r="O103" t="n">
        <v>23</v>
      </c>
      <c r="P103" t="n">
        <v>5</v>
      </c>
      <c r="Q103" t="n">
        <v>148</v>
      </c>
    </row>
    <row r="104">
      <c r="A104" t="inlineStr">
        <is>
          <t>NEE</t>
        </is>
      </c>
      <c r="B104" t="inlineStr">
        <is>
          <t>NextEra Energy, Inc.</t>
        </is>
      </c>
      <c r="C104" t="inlineStr">
        <is>
          <t>Energia Renovables</t>
        </is>
      </c>
      <c r="D104" t="inlineStr">
        <is>
          <t>US</t>
        </is>
      </c>
      <c r="E104" t="n">
        <v>84.81</v>
      </c>
      <c r="F104" t="n">
        <v>21.1</v>
      </c>
      <c r="G104" t="n">
        <v>19.2</v>
      </c>
      <c r="H104" t="n">
        <v>-7.7</v>
      </c>
      <c r="I104" t="n">
        <v>6.6</v>
      </c>
      <c r="J104" t="n">
        <v>30.8</v>
      </c>
      <c r="K104" t="n">
        <v>6.28</v>
      </c>
      <c r="L104" t="n">
        <v>0.73</v>
      </c>
      <c r="M104" t="n">
        <v>26.8</v>
      </c>
      <c r="N104" t="n">
        <v>20.1</v>
      </c>
      <c r="O104" t="n">
        <v>91.42</v>
      </c>
      <c r="P104" t="n">
        <v>4.1</v>
      </c>
      <c r="Q104" t="n">
        <v>267</v>
      </c>
    </row>
    <row r="105">
      <c r="A105" t="inlineStr">
        <is>
          <t>COP</t>
        </is>
      </c>
      <c r="B105" t="inlineStr">
        <is>
          <t>ConocoPhillips</t>
        </is>
      </c>
      <c r="C105" t="inlineStr">
        <is>
          <t>Energia Oil</t>
        </is>
      </c>
      <c r="D105" t="inlineStr">
        <is>
          <t>US</t>
        </is>
      </c>
      <c r="E105" t="n">
        <v>98.34999999999999</v>
      </c>
      <c r="F105" t="n">
        <v>18.7</v>
      </c>
      <c r="G105" t="n">
        <v>5.5</v>
      </c>
      <c r="H105" t="n">
        <v>5</v>
      </c>
      <c r="I105" t="n">
        <v>12.3</v>
      </c>
      <c r="J105" t="n">
        <v>19.5</v>
      </c>
      <c r="K105" t="n">
        <v>0.68</v>
      </c>
      <c r="L105" t="n">
        <v>0.33</v>
      </c>
      <c r="M105" t="n">
        <v>34.9</v>
      </c>
      <c r="N105" t="n">
        <v>-0.1</v>
      </c>
      <c r="O105" t="n">
        <v>112.96</v>
      </c>
      <c r="P105" t="n">
        <v>4.3</v>
      </c>
      <c r="Q105" t="n">
        <v>342</v>
      </c>
    </row>
    <row r="106">
      <c r="A106" t="inlineStr">
        <is>
          <t>UBS</t>
        </is>
      </c>
      <c r="B106" t="inlineStr">
        <is>
          <t>UBS Group AG Registered</t>
        </is>
      </c>
      <c r="C106" t="inlineStr">
        <is>
          <t>Europa Financieras</t>
        </is>
      </c>
      <c r="D106" t="inlineStr">
        <is>
          <t>Switzerland</t>
        </is>
      </c>
      <c r="E106" t="n">
        <v>47.55</v>
      </c>
      <c r="F106" t="n">
        <v>14.9</v>
      </c>
      <c r="I106" t="n">
        <v>6.6</v>
      </c>
      <c r="J106" t="n">
        <v>21.5</v>
      </c>
      <c r="K106" t="n">
        <v>25609043968</v>
      </c>
      <c r="L106" t="n">
        <v>0.93</v>
      </c>
      <c r="M106" t="n">
        <v>29.6</v>
      </c>
      <c r="N106" t="n">
        <v>38.8</v>
      </c>
      <c r="O106" t="n">
        <v>49.31</v>
      </c>
      <c r="P106" t="n">
        <v>3.5</v>
      </c>
      <c r="Q106" t="n">
        <v>189</v>
      </c>
    </row>
    <row r="107">
      <c r="A107" t="inlineStr">
        <is>
          <t>CVX</t>
        </is>
      </c>
      <c r="B107" t="inlineStr">
        <is>
          <t>Chevron Corporation</t>
        </is>
      </c>
      <c r="C107" t="inlineStr">
        <is>
          <t>Energia Oil</t>
        </is>
      </c>
      <c r="D107" t="inlineStr">
        <is>
          <t>US</t>
        </is>
      </c>
      <c r="E107" t="n">
        <v>166.72</v>
      </c>
      <c r="F107" t="n">
        <v>23.8</v>
      </c>
      <c r="G107" t="n">
        <v>10</v>
      </c>
      <c r="H107" t="n">
        <v>4.7</v>
      </c>
      <c r="I107" t="n">
        <v>5.9</v>
      </c>
      <c r="J107" t="n">
        <v>9.9</v>
      </c>
      <c r="K107" t="n">
        <v>0.9</v>
      </c>
      <c r="L107" t="n">
        <v>0.6899999999999999</v>
      </c>
      <c r="M107" t="n">
        <v>25.2</v>
      </c>
      <c r="N107" t="n">
        <v>12.1</v>
      </c>
      <c r="O107" t="n">
        <v>175.78</v>
      </c>
      <c r="P107" t="n">
        <v>4</v>
      </c>
      <c r="Q107" t="n">
        <v>410</v>
      </c>
    </row>
    <row r="108">
      <c r="A108" t="inlineStr">
        <is>
          <t>NTDOY</t>
        </is>
      </c>
      <c r="B108" t="inlineStr">
        <is>
          <t>Nintendo Co., Ltd.</t>
        </is>
      </c>
      <c r="C108" t="inlineStr">
        <is>
          <t>Japan</t>
        </is>
      </c>
      <c r="D108" t="inlineStr">
        <is>
          <t>Japan</t>
        </is>
      </c>
      <c r="E108" t="n">
        <v>16.67</v>
      </c>
      <c r="F108" t="n">
        <v>7.8</v>
      </c>
      <c r="G108" t="n">
        <v>-6.5</v>
      </c>
      <c r="H108" t="n">
        <v>70.7</v>
      </c>
      <c r="I108" t="n">
        <v>11</v>
      </c>
      <c r="J108" t="n">
        <v>16.7</v>
      </c>
      <c r="K108" t="n">
        <v>-6.55</v>
      </c>
      <c r="L108" t="n">
        <v>0.33</v>
      </c>
      <c r="M108" t="n">
        <v>36.5</v>
      </c>
      <c r="N108" t="n">
        <v>6</v>
      </c>
      <c r="O108" t="n">
        <v>35</v>
      </c>
      <c r="P108" t="n">
        <v>5</v>
      </c>
      <c r="Q108" t="n">
        <v>129</v>
      </c>
    </row>
    <row r="109">
      <c r="A109" t="inlineStr">
        <is>
          <t>EQIX</t>
        </is>
      </c>
      <c r="B109" t="inlineStr">
        <is>
          <t>Equinix, Inc.</t>
        </is>
      </c>
      <c r="C109" t="inlineStr">
        <is>
          <t>REITs</t>
        </is>
      </c>
      <c r="D109" t="inlineStr">
        <is>
          <t>US</t>
        </is>
      </c>
      <c r="E109" t="n">
        <v>791.27</v>
      </c>
      <c r="F109" t="n">
        <v>51.9</v>
      </c>
      <c r="G109" t="n">
        <v>24.8</v>
      </c>
      <c r="H109" t="n">
        <v>4.9</v>
      </c>
      <c r="I109" t="n">
        <v>6.2</v>
      </c>
      <c r="J109" t="n">
        <v>21.9</v>
      </c>
      <c r="K109" t="n">
        <v>4.85</v>
      </c>
      <c r="L109" t="n">
        <v>1.04</v>
      </c>
      <c r="M109" t="n">
        <v>26.9</v>
      </c>
      <c r="N109" t="n">
        <v>-14</v>
      </c>
      <c r="O109" t="n">
        <v>959.12</v>
      </c>
      <c r="P109" t="n">
        <v>4.4</v>
      </c>
      <c r="Q109" t="n">
        <v>237</v>
      </c>
    </row>
    <row r="110">
      <c r="A110" t="inlineStr">
        <is>
          <t>PLTR</t>
        </is>
      </c>
      <c r="B110" t="inlineStr">
        <is>
          <t>Palantir Technologies Inc</t>
        </is>
      </c>
      <c r="C110" t="inlineStr">
        <is>
          <t>IA Software</t>
        </is>
      </c>
      <c r="D110" t="inlineStr">
        <is>
          <t>US</t>
        </is>
      </c>
      <c r="E110" t="n">
        <v>169.6</v>
      </c>
      <c r="F110" t="n">
        <v>167.6</v>
      </c>
      <c r="G110" t="n">
        <v>454.6</v>
      </c>
      <c r="H110" t="n">
        <v>0.3</v>
      </c>
      <c r="I110" t="n">
        <v>15.6</v>
      </c>
      <c r="J110" t="n">
        <v>33.3</v>
      </c>
      <c r="K110" t="n">
        <v>-7.08</v>
      </c>
      <c r="L110" t="n">
        <v>1.54</v>
      </c>
      <c r="M110" t="n">
        <v>66.3</v>
      </c>
      <c r="N110" t="n">
        <v>114.7</v>
      </c>
      <c r="O110" t="n">
        <v>190.25</v>
      </c>
      <c r="P110" t="n">
        <v>3.2</v>
      </c>
      <c r="Q110" t="n">
        <v>0</v>
      </c>
    </row>
    <row r="111">
      <c r="A111" t="inlineStr">
        <is>
          <t>ASML</t>
        </is>
      </c>
      <c r="B111" t="inlineStr">
        <is>
          <t>ASML Holding N.V. - New Y</t>
        </is>
      </c>
      <c r="C111" t="inlineStr">
        <is>
          <t>Semiconductores</t>
        </is>
      </c>
      <c r="D111" t="inlineStr">
        <is>
          <t>Netherlands</t>
        </is>
      </c>
      <c r="E111" t="n">
        <v>1389.04</v>
      </c>
      <c r="F111" t="n">
        <v>43</v>
      </c>
      <c r="G111" t="n">
        <v>44</v>
      </c>
      <c r="H111" t="n">
        <v>1.7</v>
      </c>
      <c r="I111" t="n">
        <v>43.1</v>
      </c>
      <c r="J111" t="n">
        <v>32.8</v>
      </c>
      <c r="K111" t="n">
        <v>-0.2</v>
      </c>
      <c r="L111" t="n">
        <v>1.34</v>
      </c>
      <c r="M111" t="n">
        <v>41.3</v>
      </c>
      <c r="N111" t="n">
        <v>91.5</v>
      </c>
      <c r="O111" t="n">
        <v>1347.6</v>
      </c>
      <c r="P111" t="n">
        <v>4.4</v>
      </c>
      <c r="Q111" t="n">
        <v>53</v>
      </c>
    </row>
    <row r="112">
      <c r="A112" t="inlineStr">
        <is>
          <t>CEMEX</t>
        </is>
      </c>
      <c r="B112" t="inlineStr">
        <is>
          <t>CEMEX</t>
        </is>
      </c>
      <c r="C112" t="inlineStr">
        <is>
          <t>Latam</t>
        </is>
      </c>
      <c r="D112" t="inlineStr">
        <is>
          <t>Mexico</t>
        </is>
      </c>
      <c r="E112" t="n">
        <v>17.79</v>
      </c>
      <c r="L112" t="n">
        <v>1</v>
      </c>
      <c r="M112" t="n">
        <v>8.5</v>
      </c>
      <c r="N112" t="n">
        <v>5.3</v>
      </c>
      <c r="P112" t="n">
        <v>3</v>
      </c>
      <c r="Q112" t="n">
        <v>0</v>
      </c>
    </row>
    <row r="113">
      <c r="A113" t="inlineStr">
        <is>
          <t>DLR</t>
        </is>
      </c>
      <c r="B113" t="inlineStr">
        <is>
          <t>Digital Realty Trust, Inc</t>
        </is>
      </c>
      <c r="C113" t="inlineStr">
        <is>
          <t>REITs</t>
        </is>
      </c>
      <c r="D113" t="inlineStr">
        <is>
          <t>US</t>
        </is>
      </c>
      <c r="E113" t="n">
        <v>159.16</v>
      </c>
      <c r="F113" t="n">
        <v>44.1</v>
      </c>
      <c r="G113" t="n">
        <v>27.7</v>
      </c>
      <c r="H113" t="n">
        <v>3.9</v>
      </c>
      <c r="I113" t="n">
        <v>4.7</v>
      </c>
      <c r="J113" t="n">
        <v>13.3</v>
      </c>
      <c r="K113" t="n">
        <v>6.19</v>
      </c>
      <c r="L113" t="n">
        <v>1.12</v>
      </c>
      <c r="M113" t="n">
        <v>27</v>
      </c>
      <c r="N113" t="n">
        <v>-9.1</v>
      </c>
      <c r="O113" t="n">
        <v>195.04</v>
      </c>
      <c r="P113" t="n">
        <v>4.3</v>
      </c>
      <c r="Q113" t="n">
        <v>307</v>
      </c>
    </row>
    <row r="114">
      <c r="A114" t="inlineStr">
        <is>
          <t>AIR.PA</t>
        </is>
      </c>
      <c r="B114" t="inlineStr">
        <is>
          <t>AIRBUS SE</t>
        </is>
      </c>
      <c r="C114" t="inlineStr">
        <is>
          <t>Europa Industriales</t>
        </is>
      </c>
      <c r="D114" t="inlineStr">
        <is>
          <t>France</t>
        </is>
      </c>
      <c r="E114" t="n">
        <v>206.8</v>
      </c>
      <c r="F114" t="n">
        <v>26.4</v>
      </c>
      <c r="G114" t="n">
        <v>21.2</v>
      </c>
      <c r="H114" t="n">
        <v>-0.3</v>
      </c>
      <c r="I114" t="n">
        <v>18.4</v>
      </c>
      <c r="J114" t="n">
        <v>9.199999999999999</v>
      </c>
      <c r="K114" t="n">
        <v>0.19</v>
      </c>
      <c r="L114" t="n">
        <v>0.9399999999999999</v>
      </c>
      <c r="M114" t="n">
        <v>28</v>
      </c>
      <c r="N114" t="n">
        <v>26.9</v>
      </c>
      <c r="O114" t="n">
        <v>227.75</v>
      </c>
      <c r="P114" t="n">
        <v>4.1</v>
      </c>
      <c r="Q114" t="n">
        <v>97</v>
      </c>
    </row>
    <row r="115">
      <c r="A115" t="inlineStr">
        <is>
          <t>TM</t>
        </is>
      </c>
      <c r="B115" t="inlineStr">
        <is>
          <t>Toyota Motor Corporation</t>
        </is>
      </c>
      <c r="C115" t="inlineStr">
        <is>
          <t>Japan</t>
        </is>
      </c>
      <c r="D115" t="inlineStr">
        <is>
          <t>Japan</t>
        </is>
      </c>
      <c r="E115" t="n">
        <v>226.28</v>
      </c>
      <c r="F115" t="n">
        <v>14.3</v>
      </c>
      <c r="G115" t="n">
        <v>4.4</v>
      </c>
      <c r="H115" t="n">
        <v>26.6</v>
      </c>
      <c r="I115" t="n">
        <v>10.4</v>
      </c>
      <c r="J115" t="n">
        <v>6.8</v>
      </c>
      <c r="K115" t="n">
        <v>3.72</v>
      </c>
      <c r="L115" t="n">
        <v>0.19</v>
      </c>
      <c r="M115" t="n">
        <v>31.1</v>
      </c>
      <c r="N115" t="n">
        <v>23.6</v>
      </c>
      <c r="O115" t="n">
        <v>244.23</v>
      </c>
      <c r="P115" t="n">
        <v>3.7</v>
      </c>
      <c r="Q115" t="n">
        <v>253</v>
      </c>
    </row>
    <row r="116">
      <c r="A116" t="inlineStr">
        <is>
          <t>RDY</t>
        </is>
      </c>
      <c r="B116" t="inlineStr">
        <is>
          <t xml:space="preserve">Dr. Reddy's Laboratories </t>
        </is>
      </c>
      <c r="C116" t="inlineStr">
        <is>
          <t>India</t>
        </is>
      </c>
      <c r="D116" t="inlineStr">
        <is>
          <t>India</t>
        </is>
      </c>
      <c r="E116" t="n">
        <v>13.68</v>
      </c>
      <c r="F116" t="n">
        <v>24.2</v>
      </c>
      <c r="G116" t="n">
        <v>-0</v>
      </c>
      <c r="H116" t="n">
        <v>117.3</v>
      </c>
      <c r="I116" t="n">
        <v>12.9</v>
      </c>
      <c r="J116" t="n">
        <v>16.4</v>
      </c>
      <c r="K116" t="n">
        <v>-0.18</v>
      </c>
      <c r="L116" t="n">
        <v>0.32</v>
      </c>
      <c r="M116" t="n">
        <v>23.6</v>
      </c>
      <c r="N116" t="n">
        <v>-1.7</v>
      </c>
      <c r="O116" t="n">
        <v>14.32</v>
      </c>
      <c r="P116" t="n">
        <v>3.4</v>
      </c>
      <c r="Q116" t="n">
        <v>67</v>
      </c>
    </row>
    <row r="117">
      <c r="A117" t="inlineStr">
        <is>
          <t>TCEHY</t>
        </is>
      </c>
      <c r="B117" t="inlineStr">
        <is>
          <t>Tencent Holding Ltd.</t>
        </is>
      </c>
      <c r="C117" t="inlineStr">
        <is>
          <t>China Tech</t>
        </is>
      </c>
      <c r="D117" t="inlineStr">
        <is>
          <t>China</t>
        </is>
      </c>
      <c r="E117" t="n">
        <v>76.72</v>
      </c>
      <c r="F117" t="n">
        <v>16.6</v>
      </c>
      <c r="G117" t="n">
        <v>3</v>
      </c>
      <c r="H117" t="n">
        <v>18.7</v>
      </c>
      <c r="I117" t="n">
        <v>15.9</v>
      </c>
      <c r="J117" t="n">
        <v>33</v>
      </c>
      <c r="K117" t="n">
        <v>-0.05</v>
      </c>
      <c r="L117" t="n">
        <v>0.85</v>
      </c>
      <c r="M117" t="n">
        <v>32.9</v>
      </c>
      <c r="N117" t="n">
        <v>53.7</v>
      </c>
      <c r="O117" t="n">
        <v>97.40000000000001</v>
      </c>
      <c r="P117" t="n">
        <v>3</v>
      </c>
      <c r="Q117" t="n">
        <v>75</v>
      </c>
    </row>
    <row r="118">
      <c r="A118" t="inlineStr">
        <is>
          <t>INFY</t>
        </is>
      </c>
      <c r="B118" t="inlineStr">
        <is>
          <t>Infosys Limited</t>
        </is>
      </c>
      <c r="C118" t="inlineStr">
        <is>
          <t>India</t>
        </is>
      </c>
      <c r="D118" t="inlineStr">
        <is>
          <t>India</t>
        </is>
      </c>
      <c r="E118" t="n">
        <v>18.24</v>
      </c>
      <c r="F118" t="n">
        <v>21.4</v>
      </c>
      <c r="G118" t="n">
        <v>16.4</v>
      </c>
      <c r="H118" t="n">
        <v>956.4</v>
      </c>
      <c r="I118" t="n">
        <v>26.1</v>
      </c>
      <c r="J118" t="n">
        <v>18.4</v>
      </c>
      <c r="K118" t="n">
        <v>-0.46</v>
      </c>
      <c r="L118" t="n">
        <v>0.26</v>
      </c>
      <c r="M118" t="n">
        <v>29.5</v>
      </c>
      <c r="N118" t="n">
        <v>-13.4</v>
      </c>
      <c r="O118" t="n">
        <v>19.29</v>
      </c>
      <c r="P118" t="n">
        <v>3.5</v>
      </c>
      <c r="Q118" t="n">
        <v>283</v>
      </c>
    </row>
    <row r="119">
      <c r="A119" t="inlineStr">
        <is>
          <t>VST</t>
        </is>
      </c>
      <c r="B119" t="inlineStr">
        <is>
          <t>Vistra Corp.</t>
        </is>
      </c>
      <c r="C119" t="inlineStr">
        <is>
          <t>Nuclear</t>
        </is>
      </c>
      <c r="D119" t="inlineStr">
        <is>
          <t>US</t>
        </is>
      </c>
      <c r="E119" t="n">
        <v>160.12</v>
      </c>
      <c r="F119" t="n">
        <v>17</v>
      </c>
      <c r="G119" t="n">
        <v>14.1</v>
      </c>
      <c r="H119" t="n">
        <v>3.4</v>
      </c>
      <c r="I119" t="n">
        <v>13.8</v>
      </c>
      <c r="J119" t="n">
        <v>21</v>
      </c>
      <c r="K119" t="n">
        <v>3.25</v>
      </c>
      <c r="L119" t="n">
        <v>1.42</v>
      </c>
      <c r="M119" t="n">
        <v>66.8</v>
      </c>
      <c r="N119" t="n">
        <v>-15.8</v>
      </c>
      <c r="O119" t="n">
        <v>230.05</v>
      </c>
      <c r="P119" t="n">
        <v>4.4</v>
      </c>
      <c r="Q119" t="n">
        <v>57</v>
      </c>
    </row>
    <row r="120">
      <c r="A120" t="inlineStr">
        <is>
          <t>HDB</t>
        </is>
      </c>
      <c r="B120" t="inlineStr">
        <is>
          <t>HDFC Bank Limited</t>
        </is>
      </c>
      <c r="C120" t="inlineStr">
        <is>
          <t>India</t>
        </is>
      </c>
      <c r="D120" t="inlineStr">
        <is>
          <t>India</t>
        </is>
      </c>
      <c r="E120" t="n">
        <v>32.06</v>
      </c>
      <c r="F120" t="n">
        <v>23.5</v>
      </c>
      <c r="I120" t="n">
        <v>11.2</v>
      </c>
      <c r="J120" t="n">
        <v>34.8</v>
      </c>
      <c r="K120" t="n">
        <v>4882424922112</v>
      </c>
      <c r="L120" t="n">
        <v>0.46</v>
      </c>
      <c r="M120" t="n">
        <v>21</v>
      </c>
      <c r="N120" t="n">
        <v>11.3</v>
      </c>
      <c r="O120" t="n">
        <v>42.95</v>
      </c>
      <c r="P120" t="n">
        <v>4.8</v>
      </c>
      <c r="Q120" t="n">
        <v>117</v>
      </c>
    </row>
    <row r="121">
      <c r="A121" t="inlineStr">
        <is>
          <t>CEG</t>
        </is>
      </c>
      <c r="B121" t="inlineStr">
        <is>
          <t>Constellation Energy Corp</t>
        </is>
      </c>
      <c r="C121" t="inlineStr">
        <is>
          <t>Nuclear</t>
        </is>
      </c>
      <c r="D121" t="inlineStr">
        <is>
          <t>US</t>
        </is>
      </c>
      <c r="E121" t="n">
        <v>289.06</v>
      </c>
      <c r="F121" t="n">
        <v>25</v>
      </c>
      <c r="G121" t="n">
        <v>16.1</v>
      </c>
      <c r="H121" t="n">
        <v>2.9</v>
      </c>
      <c r="I121" t="n">
        <v>15.9</v>
      </c>
      <c r="J121" t="n">
        <v>16.3</v>
      </c>
      <c r="K121" t="n">
        <v>0.85</v>
      </c>
      <c r="L121" t="n">
        <v>1.15</v>
      </c>
      <c r="M121" t="n">
        <v>56.8</v>
      </c>
      <c r="N121" t="n">
        <v>-16.3</v>
      </c>
      <c r="O121" t="n">
        <v>406.46</v>
      </c>
      <c r="P121" t="n">
        <v>4.3</v>
      </c>
      <c r="Q121" t="n">
        <v>54</v>
      </c>
    </row>
    <row r="122">
      <c r="A122" t="inlineStr">
        <is>
          <t>IBN</t>
        </is>
      </c>
      <c r="B122" t="inlineStr">
        <is>
          <t>ICICI Bank Limited</t>
        </is>
      </c>
      <c r="C122" t="inlineStr">
        <is>
          <t>India</t>
        </is>
      </c>
      <c r="D122" t="inlineStr">
        <is>
          <t>India</t>
        </is>
      </c>
      <c r="E122" t="n">
        <v>29.15</v>
      </c>
      <c r="F122" t="n">
        <v>16.4</v>
      </c>
      <c r="I122" t="n">
        <v>13.4</v>
      </c>
      <c r="J122" t="n">
        <v>34</v>
      </c>
      <c r="K122" t="n">
        <v>360582086656</v>
      </c>
      <c r="L122" t="n">
        <v>0.2</v>
      </c>
      <c r="M122" t="n">
        <v>19.1</v>
      </c>
      <c r="N122" t="n">
        <v>5.1</v>
      </c>
      <c r="O122" t="n">
        <v>39.12</v>
      </c>
      <c r="P122" t="n">
        <v>4.8</v>
      </c>
      <c r="Q122" t="n">
        <v>85</v>
      </c>
    </row>
    <row r="123">
      <c r="A123" t="inlineStr">
        <is>
          <t>SIE.DE</t>
        </is>
      </c>
      <c r="B123" t="inlineStr">
        <is>
          <t xml:space="preserve">SIEMENS AG               </t>
        </is>
      </c>
      <c r="C123" t="inlineStr">
        <is>
          <t>Europa Industriales</t>
        </is>
      </c>
      <c r="D123" t="inlineStr">
        <is>
          <t>Germany</t>
        </is>
      </c>
      <c r="E123" t="n">
        <v>254.4</v>
      </c>
      <c r="F123" t="n">
        <v>19.8</v>
      </c>
      <c r="G123" t="n">
        <v>21.4</v>
      </c>
      <c r="H123" t="n">
        <v>3.4</v>
      </c>
      <c r="I123" t="n">
        <v>10.7</v>
      </c>
      <c r="J123" t="n">
        <v>8.1</v>
      </c>
      <c r="K123" t="n">
        <v>3.53</v>
      </c>
      <c r="L123" t="n">
        <v>1.16</v>
      </c>
      <c r="M123" t="n">
        <v>32.6</v>
      </c>
      <c r="N123" t="n">
        <v>24.6</v>
      </c>
      <c r="O123" t="n">
        <v>259.96</v>
      </c>
      <c r="P123" t="n">
        <v>4.1</v>
      </c>
      <c r="Q123" t="n">
        <v>210</v>
      </c>
    </row>
    <row r="124">
      <c r="A124" t="inlineStr">
        <is>
          <t>MELI</t>
        </is>
      </c>
      <c r="B124" t="inlineStr">
        <is>
          <t>MercadoLibre, Inc.</t>
        </is>
      </c>
      <c r="C124" t="inlineStr">
        <is>
          <t>Latam</t>
        </is>
      </c>
      <c r="D124" t="inlineStr">
        <is>
          <t>Argentina</t>
        </is>
      </c>
      <c r="E124" t="n">
        <v>2137.29</v>
      </c>
      <c r="F124" t="n">
        <v>35.9</v>
      </c>
      <c r="G124" t="n">
        <v>29.5</v>
      </c>
      <c r="H124" t="n">
        <v>-3.8</v>
      </c>
      <c r="I124" t="n">
        <v>32.5</v>
      </c>
      <c r="J124" t="n">
        <v>9.800000000000001</v>
      </c>
      <c r="K124" t="n">
        <v>1.5</v>
      </c>
      <c r="L124" t="n">
        <v>1.42</v>
      </c>
      <c r="M124" t="n">
        <v>38.3</v>
      </c>
      <c r="N124" t="n">
        <v>15.9</v>
      </c>
      <c r="O124" t="n">
        <v>2817</v>
      </c>
      <c r="P124" t="n">
        <v>4.6</v>
      </c>
      <c r="Q124" t="n">
        <v>0</v>
      </c>
    </row>
    <row r="125">
      <c r="A125" t="inlineStr">
        <is>
          <t>PKX</t>
        </is>
      </c>
      <c r="B125" t="inlineStr">
        <is>
          <t>POSCO Holdings Inc.</t>
        </is>
      </c>
      <c r="C125" t="inlineStr">
        <is>
          <t>Korea</t>
        </is>
      </c>
      <c r="D125" t="inlineStr">
        <is>
          <t>Korea</t>
        </is>
      </c>
      <c r="E125" t="n">
        <v>63.41</v>
      </c>
      <c r="F125" t="n">
        <v>12.6</v>
      </c>
      <c r="G125" t="n">
        <v>3.3</v>
      </c>
      <c r="H125" t="n">
        <v>-11000.8</v>
      </c>
      <c r="I125" t="n">
        <v>0.1</v>
      </c>
      <c r="J125" t="n">
        <v>3.7</v>
      </c>
      <c r="K125" t="n">
        <v>2.19</v>
      </c>
      <c r="L125" t="n">
        <v>1.45</v>
      </c>
      <c r="M125" t="n">
        <v>42.4</v>
      </c>
      <c r="N125" t="n">
        <v>43</v>
      </c>
      <c r="O125" t="n">
        <v>69.45999999999999</v>
      </c>
      <c r="P125" t="n">
        <v>3</v>
      </c>
      <c r="Q125" t="n">
        <v>279</v>
      </c>
    </row>
    <row r="126">
      <c r="A126" t="inlineStr">
        <is>
          <t>LPL</t>
        </is>
      </c>
      <c r="B126" t="inlineStr">
        <is>
          <t>LG Display Co, Ltd AMERIC</t>
        </is>
      </c>
      <c r="C126" t="inlineStr">
        <is>
          <t>Korea</t>
        </is>
      </c>
      <c r="D126" t="inlineStr">
        <is>
          <t>Korea</t>
        </is>
      </c>
      <c r="E126" t="n">
        <v>4.43</v>
      </c>
      <c r="F126" t="n">
        <v>51.5</v>
      </c>
      <c r="G126" t="n">
        <v>3.1</v>
      </c>
      <c r="H126" t="n">
        <v>29417.6</v>
      </c>
      <c r="I126" t="n">
        <v>-1.8</v>
      </c>
      <c r="J126" t="n">
        <v>6.2</v>
      </c>
      <c r="K126" t="n">
        <v>2.79</v>
      </c>
      <c r="L126" t="n">
        <v>1.09</v>
      </c>
      <c r="M126" t="n">
        <v>41.6</v>
      </c>
      <c r="N126" t="n">
        <v>36.3</v>
      </c>
      <c r="O126" t="n">
        <v>5.36</v>
      </c>
      <c r="P126" t="n">
        <v>3</v>
      </c>
      <c r="Q126" t="n">
        <v>0</v>
      </c>
    </row>
    <row r="127">
      <c r="A127" t="inlineStr">
        <is>
          <t>AVGO</t>
        </is>
      </c>
      <c r="B127" t="inlineStr">
        <is>
          <t>Broadcom Inc.</t>
        </is>
      </c>
      <c r="C127" t="inlineStr">
        <is>
          <t>Semiconductores</t>
        </is>
      </c>
      <c r="D127" t="inlineStr">
        <is>
          <t>US</t>
        </is>
      </c>
      <c r="E127" t="n">
        <v>320.05</v>
      </c>
      <c r="F127" t="n">
        <v>22.5</v>
      </c>
      <c r="G127" t="n">
        <v>4.6</v>
      </c>
      <c r="H127" t="n">
        <v>1.7</v>
      </c>
      <c r="I127" t="n">
        <v>24.8</v>
      </c>
      <c r="J127" t="n">
        <v>31.8</v>
      </c>
      <c r="K127" t="n">
        <v>0.84</v>
      </c>
      <c r="L127" t="n">
        <v>1.22</v>
      </c>
      <c r="M127" t="n">
        <v>53.6</v>
      </c>
      <c r="N127" t="n">
        <v>32</v>
      </c>
      <c r="O127" t="n">
        <v>456.12</v>
      </c>
      <c r="P127" t="n">
        <v>4.7</v>
      </c>
      <c r="Q127" t="n">
        <v>81</v>
      </c>
    </row>
    <row r="128">
      <c r="A128" t="inlineStr">
        <is>
          <t>ENPH</t>
        </is>
      </c>
      <c r="B128" t="inlineStr">
        <is>
          <t>Enphase Energy, Inc.</t>
        </is>
      </c>
      <c r="C128" t="inlineStr">
        <is>
          <t>Energia Renovables</t>
        </is>
      </c>
      <c r="D128" t="inlineStr">
        <is>
          <t>US</t>
        </is>
      </c>
      <c r="E128" t="n">
        <v>39.46</v>
      </c>
      <c r="F128" t="n">
        <v>18.7</v>
      </c>
      <c r="G128" t="n">
        <v>17.5</v>
      </c>
      <c r="H128" t="n">
        <v>2.7</v>
      </c>
      <c r="I128" t="n">
        <v>16.2</v>
      </c>
      <c r="J128" t="n">
        <v>16.4</v>
      </c>
      <c r="K128" t="n">
        <v>-0.87</v>
      </c>
      <c r="L128" t="n">
        <v>1.35</v>
      </c>
      <c r="M128" t="n">
        <v>71.3</v>
      </c>
      <c r="N128" t="n">
        <v>-37.7</v>
      </c>
      <c r="O128" t="n">
        <v>39.59</v>
      </c>
      <c r="P128" t="n">
        <v>3.3</v>
      </c>
      <c r="Q128" t="n">
        <v>0</v>
      </c>
    </row>
    <row r="129">
      <c r="A129" t="inlineStr">
        <is>
          <t>IBM</t>
        </is>
      </c>
      <c r="B129" t="inlineStr">
        <is>
          <t>International Business Ma</t>
        </is>
      </c>
      <c r="C129" t="inlineStr">
        <is>
          <t>IA Software</t>
        </is>
      </c>
      <c r="D129" t="inlineStr">
        <is>
          <t>US</t>
        </is>
      </c>
      <c r="E129" t="n">
        <v>292.44</v>
      </c>
      <c r="F129" t="n">
        <v>23.9</v>
      </c>
      <c r="G129" t="n">
        <v>21.6</v>
      </c>
      <c r="H129" t="n">
        <v>4.3</v>
      </c>
      <c r="I129" t="n">
        <v>24.1</v>
      </c>
      <c r="J129" t="n">
        <v>17.2</v>
      </c>
      <c r="K129" t="n">
        <v>3.44</v>
      </c>
      <c r="L129" t="n">
        <v>0.7</v>
      </c>
      <c r="M129" t="n">
        <v>31.4</v>
      </c>
      <c r="N129" t="n">
        <v>33.5</v>
      </c>
      <c r="O129" t="n">
        <v>305.16</v>
      </c>
      <c r="P129" t="n">
        <v>3.6</v>
      </c>
      <c r="Q129" t="n">
        <v>230</v>
      </c>
    </row>
    <row r="130">
      <c r="A130" t="inlineStr">
        <is>
          <t>WIT</t>
        </is>
      </c>
      <c r="B130" t="inlineStr">
        <is>
          <t>Wipro Limited</t>
        </is>
      </c>
      <c r="C130" t="inlineStr">
        <is>
          <t>India</t>
        </is>
      </c>
      <c r="D130" t="inlineStr">
        <is>
          <t>India</t>
        </is>
      </c>
      <c r="E130" t="n">
        <v>2.58</v>
      </c>
      <c r="F130" t="n">
        <v>17.7</v>
      </c>
      <c r="G130" t="n">
        <v>-2.1</v>
      </c>
      <c r="H130" t="n">
        <v>405.9</v>
      </c>
      <c r="I130" t="n">
        <v>12.2</v>
      </c>
      <c r="J130" t="n">
        <v>14.8</v>
      </c>
      <c r="K130" t="n">
        <v>-2.24</v>
      </c>
      <c r="L130" t="n">
        <v>0.5600000000000001</v>
      </c>
      <c r="M130" t="n">
        <v>26.9</v>
      </c>
      <c r="N130" t="n">
        <v>-28.8</v>
      </c>
      <c r="O130" t="n">
        <v>2.62</v>
      </c>
      <c r="P130" t="n">
        <v>2</v>
      </c>
      <c r="Q130" t="n">
        <v>515</v>
      </c>
    </row>
    <row r="131">
      <c r="A131" t="inlineStr">
        <is>
          <t>NTES</t>
        </is>
      </c>
      <c r="B131" t="inlineStr">
        <is>
          <t>NetEase, Inc.</t>
        </is>
      </c>
      <c r="C131" t="inlineStr">
        <is>
          <t>China Tech</t>
        </is>
      </c>
      <c r="D131" t="inlineStr">
        <is>
          <t>China</t>
        </is>
      </c>
      <c r="E131" t="n">
        <v>132.24</v>
      </c>
      <c r="F131" t="n">
        <v>14.1</v>
      </c>
      <c r="G131" t="n">
        <v>7.6</v>
      </c>
      <c r="H131" t="n">
        <v>32.5</v>
      </c>
      <c r="I131" t="n">
        <v>20.1</v>
      </c>
      <c r="J131" t="n">
        <v>28.3</v>
      </c>
      <c r="K131" t="n">
        <v>-3.77</v>
      </c>
      <c r="L131" t="n">
        <v>0.91</v>
      </c>
      <c r="M131" t="n">
        <v>34.5</v>
      </c>
      <c r="N131" t="n">
        <v>31.5</v>
      </c>
      <c r="O131" t="n">
        <v>168.49</v>
      </c>
      <c r="P131" t="n">
        <v>4.8</v>
      </c>
      <c r="Q131" t="n">
        <v>230</v>
      </c>
    </row>
    <row r="132">
      <c r="A132" t="inlineStr">
        <is>
          <t>V</t>
        </is>
      </c>
      <c r="B132" t="inlineStr">
        <is>
          <t>Visa Inc.</t>
        </is>
      </c>
      <c r="C132" t="inlineStr">
        <is>
          <t>Fintech</t>
        </is>
      </c>
      <c r="D132" t="inlineStr">
        <is>
          <t>US</t>
        </is>
      </c>
      <c r="E132" t="n">
        <v>326.18</v>
      </c>
      <c r="F132" t="n">
        <v>22.6</v>
      </c>
      <c r="G132" t="n">
        <v>22.6</v>
      </c>
      <c r="H132" t="n">
        <v>3.2</v>
      </c>
      <c r="I132" t="n">
        <v>41.7</v>
      </c>
      <c r="J132" t="n">
        <v>65.8</v>
      </c>
      <c r="K132" t="n">
        <v>0.25</v>
      </c>
      <c r="L132" t="n">
        <v>0.8100000000000001</v>
      </c>
      <c r="M132" t="n">
        <v>23</v>
      </c>
      <c r="N132" t="n">
        <v>-0.5</v>
      </c>
      <c r="O132" t="n">
        <v>398.5</v>
      </c>
      <c r="P132" t="n">
        <v>4.5</v>
      </c>
      <c r="Q132" t="n">
        <v>82</v>
      </c>
    </row>
    <row r="133">
      <c r="A133" t="inlineStr">
        <is>
          <t>SONY</t>
        </is>
      </c>
      <c r="B133" t="inlineStr">
        <is>
          <t>Sony Group Corporation</t>
        </is>
      </c>
      <c r="C133" t="inlineStr">
        <is>
          <t>Japan</t>
        </is>
      </c>
      <c r="D133" t="inlineStr">
        <is>
          <t>Japan</t>
        </is>
      </c>
      <c r="E133" t="n">
        <v>23.09</v>
      </c>
      <c r="F133" t="n">
        <v>19.4</v>
      </c>
      <c r="G133" t="n">
        <v>0.3</v>
      </c>
      <c r="H133" t="n">
        <v>-354.7</v>
      </c>
      <c r="I133" t="n">
        <v>12.3</v>
      </c>
      <c r="J133" t="n">
        <v>14.9</v>
      </c>
      <c r="K133" t="n">
        <v>0.05</v>
      </c>
      <c r="L133" t="n">
        <v>0.8</v>
      </c>
      <c r="M133" t="n">
        <v>30.6</v>
      </c>
      <c r="N133" t="n">
        <v>11.2</v>
      </c>
      <c r="O133" t="n">
        <v>32.46</v>
      </c>
      <c r="P133" t="n">
        <v>4.8</v>
      </c>
      <c r="Q133" t="n">
        <v>65</v>
      </c>
    </row>
    <row r="134">
      <c r="A134" t="inlineStr">
        <is>
          <t>RELX</t>
        </is>
      </c>
      <c r="B134" t="inlineStr">
        <is>
          <t>RELX PLC PLC</t>
        </is>
      </c>
      <c r="C134" t="inlineStr">
        <is>
          <t>Europa Industriales</t>
        </is>
      </c>
      <c r="D134" t="inlineStr">
        <is>
          <t>UK</t>
        </is>
      </c>
      <c r="E134" t="n">
        <v>39.9</v>
      </c>
      <c r="F134" t="n">
        <v>20.9</v>
      </c>
      <c r="G134" t="n">
        <v>26</v>
      </c>
      <c r="H134" t="n">
        <v>2.7</v>
      </c>
      <c r="I134" t="n">
        <v>57.6</v>
      </c>
      <c r="J134" t="n">
        <v>30.9</v>
      </c>
      <c r="K134" t="n">
        <v>2.37</v>
      </c>
      <c r="L134" t="n">
        <v>0.28</v>
      </c>
      <c r="M134" t="n">
        <v>23</v>
      </c>
      <c r="N134" t="n">
        <v>-17</v>
      </c>
      <c r="O134" t="n">
        <v>53.95</v>
      </c>
      <c r="P134" t="n">
        <v>3</v>
      </c>
      <c r="Q134" t="n">
        <v>217</v>
      </c>
    </row>
    <row r="135">
      <c r="A135" t="inlineStr">
        <is>
          <t>MA</t>
        </is>
      </c>
      <c r="B135" t="inlineStr">
        <is>
          <t>Mastercard Incorporated</t>
        </is>
      </c>
      <c r="C135" t="inlineStr">
        <is>
          <t>Fintech</t>
        </is>
      </c>
      <c r="D135" t="inlineStr">
        <is>
          <t>US</t>
        </is>
      </c>
      <c r="E135" t="n">
        <v>524.74</v>
      </c>
      <c r="F135" t="n">
        <v>27.5</v>
      </c>
      <c r="G135" t="n">
        <v>24.5</v>
      </c>
      <c r="H135" t="n">
        <v>3.4</v>
      </c>
      <c r="I135" t="n">
        <v>147.9</v>
      </c>
      <c r="J135" t="n">
        <v>59.8</v>
      </c>
      <c r="K135" t="n">
        <v>0.42</v>
      </c>
      <c r="L135" t="n">
        <v>0.86</v>
      </c>
      <c r="M135" t="n">
        <v>23</v>
      </c>
      <c r="N135" t="n">
        <v>-1.1</v>
      </c>
      <c r="O135" t="n">
        <v>665.09</v>
      </c>
      <c r="P135" t="n">
        <v>4.5</v>
      </c>
      <c r="Q135" t="n">
        <v>66</v>
      </c>
    </row>
    <row r="136">
      <c r="A136" t="inlineStr">
        <is>
          <t>SAP</t>
        </is>
      </c>
      <c r="B136" t="inlineStr">
        <is>
          <t>SAP  SE</t>
        </is>
      </c>
      <c r="C136" t="inlineStr">
        <is>
          <t>Europa Tech</t>
        </is>
      </c>
      <c r="D136" t="inlineStr">
        <is>
          <t>Germany</t>
        </is>
      </c>
      <c r="E136" t="n">
        <v>231.07</v>
      </c>
      <c r="F136" t="n">
        <v>27.3</v>
      </c>
      <c r="G136" t="n">
        <v>24.8</v>
      </c>
      <c r="H136" t="n">
        <v>2.6</v>
      </c>
      <c r="I136" t="n">
        <v>13.6</v>
      </c>
      <c r="J136" t="n">
        <v>28.3</v>
      </c>
      <c r="K136" t="n">
        <v>-0.08</v>
      </c>
      <c r="L136" t="n">
        <v>0.8100000000000001</v>
      </c>
      <c r="M136" t="n">
        <v>27.8</v>
      </c>
      <c r="N136" t="n">
        <v>-15.6</v>
      </c>
      <c r="O136" t="n">
        <v>336</v>
      </c>
      <c r="P136" t="n">
        <v>4.3</v>
      </c>
      <c r="Q136" t="n">
        <v>114</v>
      </c>
    </row>
    <row r="137">
      <c r="A137" t="inlineStr">
        <is>
          <t>HMC</t>
        </is>
      </c>
      <c r="B137" t="inlineStr">
        <is>
          <t>Honda Motor Company, Ltd.</t>
        </is>
      </c>
      <c r="C137" t="inlineStr">
        <is>
          <t>Japan</t>
        </is>
      </c>
      <c r="D137" t="inlineStr">
        <is>
          <t>Japan</t>
        </is>
      </c>
      <c r="E137" t="n">
        <v>30.42</v>
      </c>
      <c r="F137" t="n">
        <v>6.1</v>
      </c>
      <c r="G137" t="n">
        <v>6.1</v>
      </c>
      <c r="H137" t="n">
        <v>118.2</v>
      </c>
      <c r="I137" t="n">
        <v>4.7</v>
      </c>
      <c r="J137" t="n">
        <v>3.7</v>
      </c>
      <c r="K137" t="n">
        <v>5.78</v>
      </c>
      <c r="L137" t="n">
        <v>0.1</v>
      </c>
      <c r="M137" t="n">
        <v>30.7</v>
      </c>
      <c r="N137" t="n">
        <v>8.800000000000001</v>
      </c>
      <c r="O137" t="n">
        <v>36.39</v>
      </c>
      <c r="P137" t="n">
        <v>3</v>
      </c>
      <c r="Q137" t="n">
        <v>457</v>
      </c>
    </row>
    <row r="138">
      <c r="A138" t="inlineStr">
        <is>
          <t>AAPL</t>
        </is>
      </c>
      <c r="B138" t="inlineStr">
        <is>
          <t>Apple Inc.</t>
        </is>
      </c>
      <c r="C138" t="inlineStr">
        <is>
          <t>Big Tech</t>
        </is>
      </c>
      <c r="D138" t="inlineStr">
        <is>
          <t>US</t>
        </is>
      </c>
      <c r="E138" t="n">
        <v>248.04</v>
      </c>
      <c r="F138" t="n">
        <v>27.1</v>
      </c>
      <c r="G138" t="n">
        <v>25.7</v>
      </c>
      <c r="H138" t="n">
        <v>2.2</v>
      </c>
      <c r="I138" t="n">
        <v>137.1</v>
      </c>
      <c r="J138" t="n">
        <v>31.6</v>
      </c>
      <c r="K138" t="n">
        <v>0.4</v>
      </c>
      <c r="L138" t="n">
        <v>1.09</v>
      </c>
      <c r="M138" t="n">
        <v>32.1</v>
      </c>
      <c r="N138" t="n">
        <v>11.8</v>
      </c>
      <c r="O138" t="n">
        <v>287.22</v>
      </c>
      <c r="P138" t="n">
        <v>4</v>
      </c>
      <c r="Q138" t="n">
        <v>42</v>
      </c>
    </row>
    <row r="139">
      <c r="A139" t="inlineStr">
        <is>
          <t>AMD</t>
        </is>
      </c>
      <c r="B139" t="inlineStr">
        <is>
          <t>Advanced Micro Devices, I</t>
        </is>
      </c>
      <c r="C139" t="inlineStr">
        <is>
          <t>Semiconductores</t>
        </is>
      </c>
      <c r="D139" t="inlineStr">
        <is>
          <t>US</t>
        </is>
      </c>
      <c r="E139" t="n">
        <v>259.68</v>
      </c>
      <c r="F139" t="n">
        <v>39.5</v>
      </c>
      <c r="G139" t="n">
        <v>69.3</v>
      </c>
      <c r="H139" t="n">
        <v>0.8</v>
      </c>
      <c r="I139" t="n">
        <v>4.3</v>
      </c>
      <c r="J139" t="n">
        <v>13.7</v>
      </c>
      <c r="K139" t="n">
        <v>-0.5600000000000001</v>
      </c>
      <c r="L139" t="n">
        <v>1.95</v>
      </c>
      <c r="M139" t="n">
        <v>61.1</v>
      </c>
      <c r="N139" t="n">
        <v>111.4</v>
      </c>
      <c r="O139" t="n">
        <v>286.59</v>
      </c>
      <c r="P139" t="n">
        <v>4.5</v>
      </c>
      <c r="Q139" t="n">
        <v>0</v>
      </c>
    </row>
    <row r="140">
      <c r="A140" t="inlineStr">
        <is>
          <t>RMS.PA</t>
        </is>
      </c>
      <c r="B140" t="inlineStr">
        <is>
          <t>HERMES INTL</t>
        </is>
      </c>
      <c r="C140" t="inlineStr">
        <is>
          <t>Lujo</t>
        </is>
      </c>
      <c r="D140" t="inlineStr">
        <is>
          <t>France</t>
        </is>
      </c>
      <c r="E140" t="n">
        <v>2130</v>
      </c>
      <c r="F140" t="n">
        <v>45</v>
      </c>
      <c r="G140" t="n">
        <v>31.8</v>
      </c>
      <c r="H140" t="n">
        <v>1.7</v>
      </c>
      <c r="I140" t="n">
        <v>22.8</v>
      </c>
      <c r="J140" t="n">
        <v>42.3</v>
      </c>
      <c r="K140" t="n">
        <v>-1.23</v>
      </c>
      <c r="L140" t="n">
        <v>1.02</v>
      </c>
      <c r="M140" t="n">
        <v>25.5</v>
      </c>
      <c r="N140" t="n">
        <v>-18.4</v>
      </c>
      <c r="O140" t="n">
        <v>2367.5</v>
      </c>
      <c r="P140" t="n">
        <v>3.7</v>
      </c>
      <c r="Q140" t="n">
        <v>75</v>
      </c>
    </row>
    <row r="141">
      <c r="A141" t="inlineStr">
        <is>
          <t>BIDU</t>
        </is>
      </c>
      <c r="B141" t="inlineStr">
        <is>
          <t>Baidu, Inc.</t>
        </is>
      </c>
      <c r="C141" t="inlineStr">
        <is>
          <t>China Tech</t>
        </is>
      </c>
      <c r="D141" t="inlineStr">
        <is>
          <t>China</t>
        </is>
      </c>
      <c r="E141" t="n">
        <v>161.44</v>
      </c>
      <c r="F141" t="n">
        <v>19.6</v>
      </c>
      <c r="G141" t="n">
        <v>15</v>
      </c>
      <c r="H141" t="n">
        <v>38.6</v>
      </c>
      <c r="I141" t="n">
        <v>2.5</v>
      </c>
      <c r="J141" t="n">
        <v>3.5</v>
      </c>
      <c r="K141" t="n">
        <v>-0.96</v>
      </c>
      <c r="L141" t="n">
        <v>0.29</v>
      </c>
      <c r="M141" t="n">
        <v>50.2</v>
      </c>
      <c r="N141" t="n">
        <v>86.90000000000001</v>
      </c>
      <c r="O141" t="n">
        <v>171.55</v>
      </c>
      <c r="P141" t="n">
        <v>4.4</v>
      </c>
      <c r="Q141" t="n">
        <v>0</v>
      </c>
    </row>
    <row r="142">
      <c r="A142" t="inlineStr">
        <is>
          <t>SPOT</t>
        </is>
      </c>
      <c r="B142" t="inlineStr">
        <is>
          <t>Spotify Technology S.A.</t>
        </is>
      </c>
      <c r="C142" t="inlineStr">
        <is>
          <t>Europa Tech</t>
        </is>
      </c>
      <c r="D142" t="inlineStr">
        <is>
          <t>Sweden</t>
        </is>
      </c>
      <c r="E142" t="n">
        <v>513.21</v>
      </c>
      <c r="F142" t="n">
        <v>35.5</v>
      </c>
      <c r="G142" t="n">
        <v>49.3</v>
      </c>
      <c r="H142" t="n">
        <v>0.7</v>
      </c>
      <c r="I142" t="n">
        <v>18.1</v>
      </c>
      <c r="J142" t="n">
        <v>13.6</v>
      </c>
      <c r="K142" t="n">
        <v>-2.57</v>
      </c>
      <c r="L142" t="n">
        <v>1.66</v>
      </c>
      <c r="M142" t="n">
        <v>44</v>
      </c>
      <c r="N142" t="n">
        <v>0.5</v>
      </c>
      <c r="O142" t="n">
        <v>735.1900000000001</v>
      </c>
      <c r="P142" t="n">
        <v>4.3</v>
      </c>
      <c r="Q142" t="n">
        <v>0</v>
      </c>
    </row>
    <row r="143">
      <c r="A143" t="inlineStr">
        <is>
          <t>META</t>
        </is>
      </c>
      <c r="B143" t="inlineStr">
        <is>
          <t>Meta Platforms, Inc.</t>
        </is>
      </c>
      <c r="C143" t="inlineStr">
        <is>
          <t>Big Tech</t>
        </is>
      </c>
      <c r="D143" t="inlineStr">
        <is>
          <t>US</t>
        </is>
      </c>
      <c r="E143" t="n">
        <v>658.76</v>
      </c>
      <c r="F143" t="n">
        <v>21.9</v>
      </c>
      <c r="G143" t="n">
        <v>16.9</v>
      </c>
      <c r="H143" t="n">
        <v>1.1</v>
      </c>
      <c r="I143" t="n">
        <v>26.1</v>
      </c>
      <c r="J143" t="n">
        <v>40.1</v>
      </c>
      <c r="K143" t="n">
        <v>0.07000000000000001</v>
      </c>
      <c r="L143" t="n">
        <v>1.29</v>
      </c>
      <c r="M143" t="n">
        <v>38.1</v>
      </c>
      <c r="N143" t="n">
        <v>2.1</v>
      </c>
      <c r="O143" t="n">
        <v>831.9299999999999</v>
      </c>
      <c r="P143" t="n">
        <v>4.6</v>
      </c>
      <c r="Q143" t="n">
        <v>32</v>
      </c>
    </row>
    <row r="144">
      <c r="A144" t="inlineStr">
        <is>
          <t>INTC</t>
        </is>
      </c>
      <c r="B144" t="inlineStr">
        <is>
          <t>Intel Corporation</t>
        </is>
      </c>
      <c r="C144" t="inlineStr">
        <is>
          <t>Semiconductores</t>
        </is>
      </c>
      <c r="D144" t="inlineStr">
        <is>
          <t>US</t>
        </is>
      </c>
      <c r="E144" t="n">
        <v>45.07</v>
      </c>
      <c r="F144" t="n">
        <v>44.8</v>
      </c>
      <c r="G144" t="n">
        <v>19.5</v>
      </c>
      <c r="H144" t="n">
        <v>-2</v>
      </c>
      <c r="I144" t="n">
        <v>0</v>
      </c>
      <c r="J144" t="n">
        <v>5.1</v>
      </c>
      <c r="K144" t="n">
        <v>0.77</v>
      </c>
      <c r="L144" t="n">
        <v>1.35</v>
      </c>
      <c r="M144" t="n">
        <v>68.40000000000001</v>
      </c>
      <c r="N144" t="n">
        <v>116.4</v>
      </c>
      <c r="O144" t="n">
        <v>46.09</v>
      </c>
      <c r="P144" t="n">
        <v>3.1</v>
      </c>
      <c r="Q144" t="n">
        <v>0</v>
      </c>
    </row>
    <row r="145">
      <c r="A145" t="inlineStr">
        <is>
          <t>IFNNY</t>
        </is>
      </c>
      <c r="B145" t="inlineStr">
        <is>
          <t>Infineon Technologies AG</t>
        </is>
      </c>
      <c r="C145" t="inlineStr">
        <is>
          <t>Semiconductores</t>
        </is>
      </c>
      <c r="D145" t="inlineStr">
        <is>
          <t>Germany</t>
        </is>
      </c>
      <c r="E145" t="n">
        <v>49.94</v>
      </c>
      <c r="F145" t="n">
        <v>19.7</v>
      </c>
      <c r="G145" t="n">
        <v>17.5</v>
      </c>
      <c r="H145" t="n">
        <v>2</v>
      </c>
      <c r="I145" t="n">
        <v>4.7</v>
      </c>
      <c r="J145" t="n">
        <v>26.3</v>
      </c>
      <c r="K145" t="n">
        <v>1.28</v>
      </c>
      <c r="L145" t="n">
        <v>1.66</v>
      </c>
      <c r="M145" t="n">
        <v>42.7</v>
      </c>
      <c r="N145" t="n">
        <v>41.6</v>
      </c>
      <c r="O145" t="n">
        <v>50.67</v>
      </c>
      <c r="P145" t="n">
        <v>4</v>
      </c>
      <c r="Q145" t="n">
        <v>74</v>
      </c>
    </row>
    <row r="146">
      <c r="A146" t="inlineStr">
        <is>
          <t>MDB</t>
        </is>
      </c>
      <c r="B146" t="inlineStr">
        <is>
          <t>MongoDB, Inc.</t>
        </is>
      </c>
      <c r="C146" t="inlineStr">
        <is>
          <t>IA Software</t>
        </is>
      </c>
      <c r="D146" t="inlineStr">
        <is>
          <t>US</t>
        </is>
      </c>
      <c r="E146" t="n">
        <v>398.69</v>
      </c>
      <c r="F146" t="n">
        <v>71.8</v>
      </c>
      <c r="G146" t="n">
        <v>-229.7</v>
      </c>
      <c r="H146" t="n">
        <v>1.1</v>
      </c>
      <c r="I146" t="n">
        <v>-2.6</v>
      </c>
      <c r="J146" t="n">
        <v>-2.9</v>
      </c>
      <c r="L146" t="n">
        <v>1.38</v>
      </c>
      <c r="M146" t="n">
        <v>70.8</v>
      </c>
      <c r="N146" t="n">
        <v>52.3</v>
      </c>
      <c r="O146" t="n">
        <v>448.75</v>
      </c>
      <c r="P146" t="n">
        <v>4.3</v>
      </c>
      <c r="Q146" t="n">
        <v>0</v>
      </c>
    </row>
    <row r="147">
      <c r="A147" t="inlineStr">
        <is>
          <t>RACE</t>
        </is>
      </c>
      <c r="B147" t="inlineStr">
        <is>
          <t>Ferrari N.V.</t>
        </is>
      </c>
      <c r="C147" t="inlineStr">
        <is>
          <t>Lujo</t>
        </is>
      </c>
      <c r="D147" t="inlineStr">
        <is>
          <t>Italy</t>
        </is>
      </c>
      <c r="E147" t="n">
        <v>338.53</v>
      </c>
      <c r="F147" t="n">
        <v>29.9</v>
      </c>
      <c r="G147" t="n">
        <v>26.2</v>
      </c>
      <c r="H147" t="n">
        <v>1.4</v>
      </c>
      <c r="I147" t="n">
        <v>36</v>
      </c>
      <c r="J147" t="n">
        <v>28.3</v>
      </c>
      <c r="K147" t="n">
        <v>0.63</v>
      </c>
      <c r="L147" t="n">
        <v>0.59</v>
      </c>
      <c r="M147" t="n">
        <v>33.5</v>
      </c>
      <c r="N147" t="n">
        <v>-21.1</v>
      </c>
      <c r="O147" t="n">
        <v>462.01</v>
      </c>
      <c r="P147" t="n">
        <v>4.4</v>
      </c>
      <c r="Q147" t="n">
        <v>100</v>
      </c>
    </row>
    <row r="148">
      <c r="A148" t="inlineStr">
        <is>
          <t>SE</t>
        </is>
      </c>
      <c r="B148" t="inlineStr">
        <is>
          <t>Sea Limited</t>
        </is>
      </c>
      <c r="C148" t="inlineStr">
        <is>
          <t>SEA</t>
        </is>
      </c>
      <c r="D148" t="inlineStr">
        <is>
          <t>Singapore</t>
        </is>
      </c>
      <c r="E148" t="n">
        <v>124.78</v>
      </c>
      <c r="F148" t="n">
        <v>25</v>
      </c>
      <c r="G148" t="n">
        <v>38.3</v>
      </c>
      <c r="H148" t="n">
        <v>1</v>
      </c>
      <c r="I148" t="n">
        <v>12.5</v>
      </c>
      <c r="J148" t="n">
        <v>8</v>
      </c>
      <c r="K148" t="n">
        <v>-3.16</v>
      </c>
      <c r="L148" t="n">
        <v>1.57</v>
      </c>
      <c r="M148" t="n">
        <v>49.9</v>
      </c>
      <c r="N148" t="n">
        <v>5.9</v>
      </c>
      <c r="O148" t="n">
        <v>190.04</v>
      </c>
      <c r="P148" t="n">
        <v>4.7</v>
      </c>
      <c r="Q148" t="n">
        <v>0</v>
      </c>
    </row>
    <row r="149">
      <c r="A149" t="inlineStr">
        <is>
          <t>KER.PA</t>
        </is>
      </c>
      <c r="B149" t="inlineStr">
        <is>
          <t>KERING</t>
        </is>
      </c>
      <c r="C149" t="inlineStr">
        <is>
          <t>Lujo</t>
        </is>
      </c>
      <c r="D149" t="inlineStr">
        <is>
          <t>France</t>
        </is>
      </c>
      <c r="E149" t="n">
        <v>274.95</v>
      </c>
      <c r="F149" t="n">
        <v>33</v>
      </c>
      <c r="G149" t="n">
        <v>17.4</v>
      </c>
      <c r="H149" t="n">
        <v>3.3</v>
      </c>
      <c r="I149" t="n">
        <v>4.1</v>
      </c>
      <c r="J149" t="n">
        <v>12.8</v>
      </c>
      <c r="K149" t="n">
        <v>5.44</v>
      </c>
      <c r="L149" t="n">
        <v>1.2</v>
      </c>
      <c r="M149" t="n">
        <v>42.1</v>
      </c>
      <c r="N149" t="n">
        <v>14.1</v>
      </c>
      <c r="O149" t="n">
        <v>301.17</v>
      </c>
      <c r="P149" t="n">
        <v>3</v>
      </c>
      <c r="Q149" t="n">
        <v>191</v>
      </c>
    </row>
    <row r="150">
      <c r="A150" t="inlineStr">
        <is>
          <t>MC.PA</t>
        </is>
      </c>
      <c r="B150" t="inlineStr">
        <is>
          <t>LVMH</t>
        </is>
      </c>
      <c r="C150" t="inlineStr">
        <is>
          <t>Lujo</t>
        </is>
      </c>
      <c r="D150" t="inlineStr">
        <is>
          <t>France</t>
        </is>
      </c>
      <c r="E150" t="n">
        <v>591.4</v>
      </c>
      <c r="F150" t="n">
        <v>24.6</v>
      </c>
      <c r="G150" t="n">
        <v>15.7</v>
      </c>
      <c r="H150" t="n">
        <v>4.5</v>
      </c>
      <c r="I150" t="n">
        <v>13.6</v>
      </c>
      <c r="J150" t="n">
        <v>22.6</v>
      </c>
      <c r="K150" t="n">
        <v>1.33</v>
      </c>
      <c r="L150" t="n">
        <v>0.96</v>
      </c>
      <c r="M150" t="n">
        <v>31.4</v>
      </c>
      <c r="N150" t="n">
        <v>-16</v>
      </c>
      <c r="O150" t="n">
        <v>648.61</v>
      </c>
      <c r="P150" t="n">
        <v>3.9</v>
      </c>
      <c r="Q150" t="n">
        <v>220</v>
      </c>
    </row>
    <row r="151">
      <c r="A151" t="inlineStr">
        <is>
          <t>BABA</t>
        </is>
      </c>
      <c r="B151" t="inlineStr">
        <is>
          <t>Alibaba Group Holding Lim</t>
        </is>
      </c>
      <c r="C151" t="inlineStr">
        <is>
          <t>China Tech</t>
        </is>
      </c>
      <c r="D151" t="inlineStr">
        <is>
          <t>China</t>
        </is>
      </c>
      <c r="E151" t="n">
        <v>173.23</v>
      </c>
      <c r="F151" t="n">
        <v>19.5</v>
      </c>
      <c r="G151" t="n">
        <v>20.1</v>
      </c>
      <c r="H151" t="n">
        <v>-12</v>
      </c>
      <c r="I151" t="n">
        <v>9</v>
      </c>
      <c r="J151" t="n">
        <v>2.2</v>
      </c>
      <c r="K151" t="n">
        <v>-0.44</v>
      </c>
      <c r="L151" t="n">
        <v>0.36</v>
      </c>
      <c r="M151" t="n">
        <v>50.7</v>
      </c>
      <c r="N151" t="n">
        <v>97.59999999999999</v>
      </c>
      <c r="O151" t="n">
        <v>196.49</v>
      </c>
      <c r="P151" t="n">
        <v>4.6</v>
      </c>
      <c r="Q151" t="n">
        <v>61</v>
      </c>
    </row>
    <row r="152">
      <c r="A152" t="inlineStr">
        <is>
          <t>SSNLF</t>
        </is>
      </c>
      <c r="B152" t="inlineStr">
        <is>
          <t>SAMSUNG ELECTRONICS CO</t>
        </is>
      </c>
      <c r="C152" t="inlineStr">
        <is>
          <t>Korea</t>
        </is>
      </c>
      <c r="D152" t="inlineStr">
        <is>
          <t>Korea</t>
        </is>
      </c>
      <c r="E152" t="n">
        <v>65.20999999999999</v>
      </c>
      <c r="F152" t="n">
        <v>14.7</v>
      </c>
      <c r="G152" t="n">
        <v>-1.1</v>
      </c>
      <c r="H152" t="n">
        <v>1089.7</v>
      </c>
      <c r="I152" t="n">
        <v>6.7</v>
      </c>
      <c r="J152" t="n">
        <v>14.1</v>
      </c>
      <c r="K152" t="n">
        <v>-1.22</v>
      </c>
      <c r="L152" t="n">
        <v>0.83</v>
      </c>
      <c r="M152" t="n">
        <v>204.4</v>
      </c>
      <c r="N152" t="n">
        <v>-100.3</v>
      </c>
      <c r="P152" t="n">
        <v>3</v>
      </c>
      <c r="Q152" t="n">
        <v>156</v>
      </c>
    </row>
    <row r="153">
      <c r="A153" t="inlineStr">
        <is>
          <t>BRBY.L</t>
        </is>
      </c>
      <c r="B153" t="inlineStr">
        <is>
          <t>BURBERRY GROUP PLC ORD 0.</t>
        </is>
      </c>
      <c r="C153" t="inlineStr">
        <is>
          <t>Lujo</t>
        </is>
      </c>
      <c r="D153" t="inlineStr">
        <is>
          <t>UK</t>
        </is>
      </c>
      <c r="E153" t="n">
        <v>1195.5</v>
      </c>
      <c r="F153" t="n">
        <v>29.5</v>
      </c>
      <c r="G153" t="n">
        <v>26.7</v>
      </c>
      <c r="H153" t="n">
        <v>10.5</v>
      </c>
      <c r="I153" t="n">
        <v>-2.5</v>
      </c>
      <c r="J153" t="n">
        <v>1.8</v>
      </c>
      <c r="K153" t="n">
        <v>5.42</v>
      </c>
      <c r="L153" t="n">
        <v>0.77</v>
      </c>
      <c r="M153" t="n">
        <v>46.9</v>
      </c>
      <c r="N153" t="n">
        <v>11.7</v>
      </c>
      <c r="O153" t="n">
        <v>1338.95</v>
      </c>
      <c r="P153" t="n">
        <v>3.6</v>
      </c>
      <c r="Q153" t="n">
        <v>0</v>
      </c>
    </row>
    <row r="154">
      <c r="A154" t="inlineStr">
        <is>
          <t>PYPL</t>
        </is>
      </c>
      <c r="B154" t="inlineStr">
        <is>
          <t>PayPal Holdings, Inc.</t>
        </is>
      </c>
      <c r="C154" t="inlineStr">
        <is>
          <t>Fintech</t>
        </is>
      </c>
      <c r="D154" t="inlineStr">
        <is>
          <t>US</t>
        </is>
      </c>
      <c r="E154" t="n">
        <v>56.62</v>
      </c>
      <c r="F154" t="n">
        <v>9.800000000000001</v>
      </c>
      <c r="G154" t="n">
        <v>8.199999999999999</v>
      </c>
      <c r="H154" t="n">
        <v>5.8</v>
      </c>
      <c r="I154" t="n">
        <v>19.5</v>
      </c>
      <c r="J154" t="n">
        <v>19.2</v>
      </c>
      <c r="K154" t="n">
        <v>0.21</v>
      </c>
      <c r="L154" t="n">
        <v>1.43</v>
      </c>
      <c r="M154" t="n">
        <v>37.3</v>
      </c>
      <c r="N154" t="n">
        <v>-36.3</v>
      </c>
      <c r="O154" t="n">
        <v>73.33</v>
      </c>
      <c r="P154" t="n">
        <v>3.4</v>
      </c>
      <c r="Q154" t="n">
        <v>99</v>
      </c>
    </row>
    <row r="155">
      <c r="A155" t="inlineStr">
        <is>
          <t>ORSTED.CO</t>
        </is>
      </c>
      <c r="B155" t="inlineStr">
        <is>
          <t>ORSTED A/S</t>
        </is>
      </c>
      <c r="C155" t="inlineStr">
        <is>
          <t>Energia Renovables</t>
        </is>
      </c>
      <c r="D155" t="inlineStr">
        <is>
          <t>Denmark</t>
        </is>
      </c>
      <c r="E155" t="n">
        <v>137.75</v>
      </c>
      <c r="F155" t="n">
        <v>17.1</v>
      </c>
      <c r="G155" t="n">
        <v>7</v>
      </c>
      <c r="H155" t="n">
        <v>-19.7</v>
      </c>
      <c r="I155" t="n">
        <v>0.4</v>
      </c>
      <c r="J155" t="n">
        <v>6.9</v>
      </c>
      <c r="K155" t="n">
        <v>3.84</v>
      </c>
      <c r="L155" t="n">
        <v>0.62</v>
      </c>
      <c r="M155" t="n">
        <v>70.09999999999999</v>
      </c>
      <c r="N155" t="n">
        <v>-46.4</v>
      </c>
      <c r="O155" t="n">
        <v>142.46</v>
      </c>
      <c r="P155" t="n">
        <v>3.6</v>
      </c>
      <c r="Q155" t="n">
        <v>0</v>
      </c>
    </row>
    <row r="156">
      <c r="A156" t="inlineStr">
        <is>
          <t>MELI</t>
        </is>
      </c>
      <c r="B156" t="inlineStr">
        <is>
          <t>MercadoLibre, Inc.</t>
        </is>
      </c>
      <c r="C156" t="inlineStr">
        <is>
          <t>Fintech</t>
        </is>
      </c>
      <c r="D156" t="inlineStr">
        <is>
          <t>Argentina</t>
        </is>
      </c>
      <c r="E156" t="n">
        <v>2137.29</v>
      </c>
      <c r="F156" t="n">
        <v>35.9</v>
      </c>
      <c r="G156" t="n">
        <v>29.5</v>
      </c>
      <c r="H156" t="n">
        <v>-3.8</v>
      </c>
      <c r="I156" t="n">
        <v>32.5</v>
      </c>
      <c r="J156" t="n">
        <v>9.800000000000001</v>
      </c>
      <c r="K156" t="n">
        <v>1.5</v>
      </c>
      <c r="L156" t="n">
        <v>1.42</v>
      </c>
      <c r="M156" t="n">
        <v>38.3</v>
      </c>
      <c r="N156" t="n">
        <v>15.9</v>
      </c>
      <c r="O156" t="n">
        <v>2817</v>
      </c>
      <c r="P156" t="n">
        <v>4.6</v>
      </c>
      <c r="Q156" t="n">
        <v>0</v>
      </c>
    </row>
    <row r="157">
      <c r="A157" t="inlineStr">
        <is>
          <t>PDD</t>
        </is>
      </c>
      <c r="B157" t="inlineStr">
        <is>
          <t>PDD Holdings Inc.</t>
        </is>
      </c>
      <c r="C157" t="inlineStr">
        <is>
          <t>China Tech</t>
        </is>
      </c>
      <c r="D157" t="inlineStr">
        <is>
          <t>China</t>
        </is>
      </c>
      <c r="E157" t="n">
        <v>106.38</v>
      </c>
      <c r="F157" t="n">
        <v>8.5</v>
      </c>
      <c r="G157" t="n">
        <v>2</v>
      </c>
      <c r="H157" t="n">
        <v>57.9</v>
      </c>
      <c r="I157" t="n">
        <v>24.4</v>
      </c>
      <c r="J157" t="n">
        <v>23.1</v>
      </c>
      <c r="K157" t="n">
        <v>-4.43</v>
      </c>
      <c r="L157" t="n">
        <v>0.01</v>
      </c>
      <c r="M157" t="n">
        <v>39.9</v>
      </c>
      <c r="N157" t="n">
        <v>-4.5</v>
      </c>
      <c r="O157" t="n">
        <v>148.64</v>
      </c>
      <c r="P157" t="n">
        <v>4.2</v>
      </c>
      <c r="Q157" t="n">
        <v>0</v>
      </c>
    </row>
    <row r="158">
      <c r="A158" t="inlineStr">
        <is>
          <t>QCOM</t>
        </is>
      </c>
      <c r="B158" t="inlineStr">
        <is>
          <t>QUALCOMM Incorporated</t>
        </is>
      </c>
      <c r="C158" t="inlineStr">
        <is>
          <t>Semiconductores</t>
        </is>
      </c>
      <c r="D158" t="inlineStr">
        <is>
          <t>US</t>
        </is>
      </c>
      <c r="E158" t="n">
        <v>155.82</v>
      </c>
      <c r="F158" t="n">
        <v>12.6</v>
      </c>
      <c r="G158" t="n">
        <v>12.3</v>
      </c>
      <c r="H158" t="n">
        <v>4.1</v>
      </c>
      <c r="I158" t="n">
        <v>18.7</v>
      </c>
      <c r="J158" t="n">
        <v>26.2</v>
      </c>
      <c r="K158" t="n">
        <v>0.39</v>
      </c>
      <c r="L158" t="n">
        <v>1.21</v>
      </c>
      <c r="M158" t="n">
        <v>38.7</v>
      </c>
      <c r="N158" t="n">
        <v>-7.4</v>
      </c>
      <c r="O158" t="n">
        <v>191.35</v>
      </c>
      <c r="P158" t="n">
        <v>3.7</v>
      </c>
      <c r="Q158" t="n">
        <v>228</v>
      </c>
    </row>
    <row r="159">
      <c r="A159" t="inlineStr">
        <is>
          <t>PATH</t>
        </is>
      </c>
      <c r="B159" t="inlineStr">
        <is>
          <t>UiPath, Inc.</t>
        </is>
      </c>
      <c r="C159" t="inlineStr">
        <is>
          <t>IA Software</t>
        </is>
      </c>
      <c r="D159" t="inlineStr">
        <is>
          <t>US</t>
        </is>
      </c>
      <c r="E159" t="n">
        <v>14.8</v>
      </c>
      <c r="F159" t="n">
        <v>19.5</v>
      </c>
      <c r="G159" t="n">
        <v>181.4</v>
      </c>
      <c r="H159" t="n">
        <v>5.3</v>
      </c>
      <c r="I159" t="n">
        <v>10</v>
      </c>
      <c r="J159" t="n">
        <v>3.2</v>
      </c>
      <c r="K159" t="n">
        <v>-36.18</v>
      </c>
      <c r="L159" t="n">
        <v>1.08</v>
      </c>
      <c r="M159" t="n">
        <v>62.3</v>
      </c>
      <c r="N159" t="n">
        <v>6.3</v>
      </c>
      <c r="O159" t="n">
        <v>16.4</v>
      </c>
      <c r="P159" t="n">
        <v>3</v>
      </c>
      <c r="Q159" t="n">
        <v>0</v>
      </c>
    </row>
    <row r="160">
      <c r="A160" t="inlineStr">
        <is>
          <t>GRAB</t>
        </is>
      </c>
      <c r="B160" t="inlineStr">
        <is>
          <t>Grab Holdings Limited</t>
        </is>
      </c>
      <c r="C160" t="inlineStr">
        <is>
          <t>SEA</t>
        </is>
      </c>
      <c r="D160" t="inlineStr">
        <is>
          <t>Singapore</t>
        </is>
      </c>
      <c r="E160" t="n">
        <v>4.58</v>
      </c>
      <c r="F160" t="n">
        <v>44.2</v>
      </c>
      <c r="G160" t="n">
        <v>72.2</v>
      </c>
      <c r="H160" t="n">
        <v>1.9</v>
      </c>
      <c r="I160" t="n">
        <v>0.7</v>
      </c>
      <c r="J160" t="n">
        <v>3.3</v>
      </c>
      <c r="K160" t="n">
        <v>-26.04</v>
      </c>
      <c r="L160" t="n">
        <v>0.9</v>
      </c>
      <c r="M160" t="n">
        <v>51.9</v>
      </c>
      <c r="N160" t="n">
        <v>0.2</v>
      </c>
      <c r="O160" t="n">
        <v>6.83</v>
      </c>
      <c r="P160" t="n">
        <v>4.6</v>
      </c>
      <c r="Q160" t="n">
        <v>0</v>
      </c>
    </row>
    <row r="161">
      <c r="A161" t="inlineStr">
        <is>
          <t>SE</t>
        </is>
      </c>
      <c r="B161" t="inlineStr">
        <is>
          <t>Sea Limited</t>
        </is>
      </c>
      <c r="C161" t="inlineStr">
        <is>
          <t>Fintech</t>
        </is>
      </c>
      <c r="D161" t="inlineStr">
        <is>
          <t>Singapore</t>
        </is>
      </c>
      <c r="E161" t="n">
        <v>124.78</v>
      </c>
      <c r="F161" t="n">
        <v>25</v>
      </c>
      <c r="G161" t="n">
        <v>38.3</v>
      </c>
      <c r="H161" t="n">
        <v>1</v>
      </c>
      <c r="I161" t="n">
        <v>12.5</v>
      </c>
      <c r="J161" t="n">
        <v>8</v>
      </c>
      <c r="K161" t="n">
        <v>-3.16</v>
      </c>
      <c r="L161" t="n">
        <v>1.57</v>
      </c>
      <c r="M161" t="n">
        <v>49.9</v>
      </c>
      <c r="N161" t="n">
        <v>5.9</v>
      </c>
      <c r="O161" t="n">
        <v>190.04</v>
      </c>
      <c r="P161" t="n">
        <v>4.7</v>
      </c>
      <c r="Q161" t="n">
        <v>0</v>
      </c>
    </row>
    <row r="162">
      <c r="A162" t="inlineStr">
        <is>
          <t>AMZN</t>
        </is>
      </c>
      <c r="B162" t="inlineStr">
        <is>
          <t>Amazon.com, Inc.</t>
        </is>
      </c>
      <c r="C162" t="inlineStr">
        <is>
          <t>Big Tech</t>
        </is>
      </c>
      <c r="D162" t="inlineStr">
        <is>
          <t>US</t>
        </is>
      </c>
      <c r="E162" t="n">
        <v>239.16</v>
      </c>
      <c r="F162" t="n">
        <v>30.4</v>
      </c>
      <c r="G162" t="n">
        <v>18.8</v>
      </c>
      <c r="H162" t="n">
        <v>1</v>
      </c>
      <c r="I162" t="n">
        <v>19.5</v>
      </c>
      <c r="J162" t="n">
        <v>11.1</v>
      </c>
      <c r="K162" t="n">
        <v>0.47</v>
      </c>
      <c r="L162" t="n">
        <v>1.38</v>
      </c>
      <c r="M162" t="n">
        <v>34.7</v>
      </c>
      <c r="N162" t="n">
        <v>1.8</v>
      </c>
      <c r="O162" t="n">
        <v>295.61</v>
      </c>
      <c r="P162" t="n">
        <v>4.7</v>
      </c>
      <c r="Q162" t="n">
        <v>0</v>
      </c>
    </row>
    <row r="163">
      <c r="A163" t="inlineStr">
        <is>
          <t>MSFT</t>
        </is>
      </c>
      <c r="B163" t="inlineStr">
        <is>
          <t>Microsoft Corporation</t>
        </is>
      </c>
      <c r="C163" t="inlineStr">
        <is>
          <t>Big Tech</t>
        </is>
      </c>
      <c r="D163" t="inlineStr">
        <is>
          <t>US</t>
        </is>
      </c>
      <c r="E163" t="n">
        <v>465.95</v>
      </c>
      <c r="F163" t="n">
        <v>24.9</v>
      </c>
      <c r="G163" t="n">
        <v>20.9</v>
      </c>
      <c r="H163" t="n">
        <v>1.5</v>
      </c>
      <c r="I163" t="n">
        <v>25.8</v>
      </c>
      <c r="J163" t="n">
        <v>48.9</v>
      </c>
      <c r="K163" t="n">
        <v>0.11</v>
      </c>
      <c r="L163" t="n">
        <v>1.07</v>
      </c>
      <c r="M163" t="n">
        <v>24.4</v>
      </c>
      <c r="N163" t="n">
        <v>5.7</v>
      </c>
      <c r="O163" t="n">
        <v>617.86</v>
      </c>
      <c r="P163" t="n">
        <v>4.8</v>
      </c>
      <c r="Q163" t="n">
        <v>78</v>
      </c>
    </row>
    <row r="164">
      <c r="A164" t="inlineStr">
        <is>
          <t>SNOW</t>
        </is>
      </c>
      <c r="B164" t="inlineStr">
        <is>
          <t>Snowflake Inc.</t>
        </is>
      </c>
      <c r="C164" t="inlineStr">
        <is>
          <t>IA Software</t>
        </is>
      </c>
      <c r="D164" t="inlineStr">
        <is>
          <t>US</t>
        </is>
      </c>
      <c r="E164" t="n">
        <v>209.69</v>
      </c>
      <c r="F164" t="n">
        <v>128.4</v>
      </c>
      <c r="G164" t="n">
        <v>-57.6</v>
      </c>
      <c r="H164" t="n">
        <v>1.8</v>
      </c>
      <c r="I164" t="n">
        <v>-42.5</v>
      </c>
      <c r="J164" t="n">
        <v>-27.2</v>
      </c>
      <c r="L164" t="n">
        <v>1.14</v>
      </c>
      <c r="M164" t="n">
        <v>49.8</v>
      </c>
      <c r="N164" t="n">
        <v>20.4</v>
      </c>
      <c r="O164" t="n">
        <v>282.9</v>
      </c>
      <c r="P164" t="n">
        <v>4.4</v>
      </c>
      <c r="Q164" t="n">
        <v>0</v>
      </c>
    </row>
    <row r="165">
      <c r="A165" t="inlineStr">
        <is>
          <t>AFRM</t>
        </is>
      </c>
      <c r="B165" t="inlineStr">
        <is>
          <t>Affirm Holdings, Inc.</t>
        </is>
      </c>
      <c r="C165" t="inlineStr">
        <is>
          <t>Fintech</t>
        </is>
      </c>
      <c r="D165" t="inlineStr">
        <is>
          <t>US</t>
        </is>
      </c>
      <c r="E165" t="n">
        <v>71.43000000000001</v>
      </c>
      <c r="F165" t="n">
        <v>19.3</v>
      </c>
      <c r="G165" t="n">
        <v>76.3</v>
      </c>
      <c r="H165" t="n">
        <v>0.8</v>
      </c>
      <c r="I165" t="n">
        <v>6.1</v>
      </c>
      <c r="J165" t="n">
        <v>6.8</v>
      </c>
      <c r="K165" t="n">
        <v>16.45</v>
      </c>
      <c r="L165" t="n">
        <v>3.57</v>
      </c>
      <c r="M165" t="n">
        <v>75.2</v>
      </c>
      <c r="N165" t="n">
        <v>28.2</v>
      </c>
      <c r="O165" t="n">
        <v>92.34</v>
      </c>
      <c r="P165" t="n">
        <v>4.2</v>
      </c>
      <c r="Q165" t="n">
        <v>0</v>
      </c>
    </row>
    <row r="166">
      <c r="A166" t="inlineStr">
        <is>
          <t>SAP</t>
        </is>
      </c>
      <c r="B166" t="inlineStr">
        <is>
          <t>SAP  SE</t>
        </is>
      </c>
      <c r="C166" t="inlineStr">
        <is>
          <t>IA Software</t>
        </is>
      </c>
      <c r="D166" t="inlineStr">
        <is>
          <t>Germany</t>
        </is>
      </c>
      <c r="E166" t="n">
        <v>231.07</v>
      </c>
      <c r="F166" t="n">
        <v>27.3</v>
      </c>
      <c r="G166" t="n">
        <v>24.8</v>
      </c>
      <c r="H166" t="n">
        <v>2.6</v>
      </c>
      <c r="I166" t="n">
        <v>13.6</v>
      </c>
      <c r="J166" t="n">
        <v>28.3</v>
      </c>
      <c r="K166" t="n">
        <v>-0.08</v>
      </c>
      <c r="L166" t="n">
        <v>0.8100000000000001</v>
      </c>
      <c r="M166" t="n">
        <v>27.8</v>
      </c>
      <c r="N166" t="n">
        <v>-15.6</v>
      </c>
      <c r="O166" t="n">
        <v>336</v>
      </c>
      <c r="P166" t="n">
        <v>4.3</v>
      </c>
      <c r="Q166" t="n">
        <v>114</v>
      </c>
    </row>
    <row r="167">
      <c r="A167" t="inlineStr">
        <is>
          <t>SSNLF</t>
        </is>
      </c>
      <c r="B167" t="inlineStr">
        <is>
          <t>SAMSUNG ELECTRONICS CO</t>
        </is>
      </c>
      <c r="C167" t="inlineStr">
        <is>
          <t>Semiconductores</t>
        </is>
      </c>
      <c r="D167" t="inlineStr">
        <is>
          <t>Korea</t>
        </is>
      </c>
      <c r="E167" t="n">
        <v>65.20999999999999</v>
      </c>
      <c r="F167" t="n">
        <v>14.7</v>
      </c>
      <c r="G167" t="n">
        <v>-1.1</v>
      </c>
      <c r="H167" t="n">
        <v>1089.7</v>
      </c>
      <c r="I167" t="n">
        <v>6.7</v>
      </c>
      <c r="J167" t="n">
        <v>14.1</v>
      </c>
      <c r="K167" t="n">
        <v>-1.22</v>
      </c>
      <c r="L167" t="n">
        <v>0.83</v>
      </c>
      <c r="M167" t="n">
        <v>204.4</v>
      </c>
      <c r="N167" t="n">
        <v>-100.3</v>
      </c>
      <c r="P167" t="n">
        <v>3</v>
      </c>
      <c r="Q167" t="n">
        <v>156</v>
      </c>
    </row>
    <row r="168">
      <c r="A168" t="inlineStr">
        <is>
          <t>CRM</t>
        </is>
      </c>
      <c r="B168" t="inlineStr">
        <is>
          <t>Salesforce, Inc.</t>
        </is>
      </c>
      <c r="C168" t="inlineStr">
        <is>
          <t>IA Software</t>
        </is>
      </c>
      <c r="D168" t="inlineStr">
        <is>
          <t>US</t>
        </is>
      </c>
      <c r="E168" t="n">
        <v>228.05</v>
      </c>
      <c r="F168" t="n">
        <v>17.4</v>
      </c>
      <c r="G168" t="n">
        <v>18.1</v>
      </c>
      <c r="H168" t="n">
        <v>6.7</v>
      </c>
      <c r="I168" t="n">
        <v>9.699999999999999</v>
      </c>
      <c r="J168" t="n">
        <v>23.9</v>
      </c>
      <c r="K168" t="n">
        <v>0.03</v>
      </c>
      <c r="L168" t="n">
        <v>1.27</v>
      </c>
      <c r="M168" t="n">
        <v>33.3</v>
      </c>
      <c r="N168" t="n">
        <v>-31.3</v>
      </c>
      <c r="O168" t="n">
        <v>329.65</v>
      </c>
      <c r="P168" t="n">
        <v>4.4</v>
      </c>
      <c r="Q168" t="n">
        <v>73</v>
      </c>
    </row>
    <row r="169">
      <c r="A169" t="inlineStr">
        <is>
          <t>ORCL</t>
        </is>
      </c>
      <c r="B169" t="inlineStr">
        <is>
          <t>Oracle Corporation</t>
        </is>
      </c>
      <c r="C169" t="inlineStr">
        <is>
          <t>IA Software</t>
        </is>
      </c>
      <c r="D169" t="inlineStr">
        <is>
          <t>US</t>
        </is>
      </c>
      <c r="E169" t="n">
        <v>177.16</v>
      </c>
      <c r="F169" t="n">
        <v>22.3</v>
      </c>
      <c r="G169" t="n">
        <v>23.7</v>
      </c>
      <c r="H169" t="n">
        <v>-2</v>
      </c>
      <c r="I169" t="n">
        <v>55.2</v>
      </c>
      <c r="J169" t="n">
        <v>32</v>
      </c>
      <c r="K169" t="n">
        <v>4.26</v>
      </c>
      <c r="L169" t="n">
        <v>1.65</v>
      </c>
      <c r="M169" t="n">
        <v>61.6</v>
      </c>
      <c r="N169" t="n">
        <v>-2.5</v>
      </c>
      <c r="O169" t="n">
        <v>288.26</v>
      </c>
      <c r="P169" t="n">
        <v>4.2</v>
      </c>
      <c r="Q169" t="n">
        <v>113</v>
      </c>
    </row>
    <row r="170">
      <c r="A170" t="inlineStr">
        <is>
          <t>NOW</t>
        </is>
      </c>
      <c r="B170" t="inlineStr">
        <is>
          <t>ServiceNow, Inc.</t>
        </is>
      </c>
      <c r="C170" t="inlineStr">
        <is>
          <t>IA Software</t>
        </is>
      </c>
      <c r="D170" t="inlineStr">
        <is>
          <t>US</t>
        </is>
      </c>
      <c r="E170" t="n">
        <v>133.11</v>
      </c>
      <c r="F170" t="n">
        <v>32.7</v>
      </c>
      <c r="G170" t="n">
        <v>54.1</v>
      </c>
      <c r="H170" t="n">
        <v>2.8</v>
      </c>
      <c r="I170" t="n">
        <v>13.5</v>
      </c>
      <c r="J170" t="n">
        <v>16.8</v>
      </c>
      <c r="K170" t="n">
        <v>-1.2</v>
      </c>
      <c r="L170" t="n">
        <v>0.98</v>
      </c>
      <c r="M170" t="n">
        <v>40.9</v>
      </c>
      <c r="N170" t="n">
        <v>-40.8</v>
      </c>
      <c r="O170" t="n">
        <v>208.37</v>
      </c>
      <c r="P170" t="n">
        <v>4.6</v>
      </c>
      <c r="Q170" t="n">
        <v>0</v>
      </c>
    </row>
    <row r="171">
      <c r="A171" t="inlineStr">
        <is>
          <t>XPEV</t>
        </is>
      </c>
      <c r="B171" t="inlineStr">
        <is>
          <t>XPeng Inc.</t>
        </is>
      </c>
      <c r="C171" t="inlineStr">
        <is>
          <t>China Tech</t>
        </is>
      </c>
      <c r="D171" t="inlineStr">
        <is>
          <t>China</t>
        </is>
      </c>
      <c r="E171" t="n">
        <v>19.25</v>
      </c>
      <c r="F171" t="n">
        <v>51.4</v>
      </c>
      <c r="G171" t="n">
        <v>-9.5</v>
      </c>
      <c r="I171" t="n">
        <v>-7.4</v>
      </c>
      <c r="J171" t="n">
        <v>-3.3</v>
      </c>
      <c r="L171" t="n">
        <v>1.13</v>
      </c>
      <c r="M171" t="n">
        <v>66.09999999999999</v>
      </c>
      <c r="N171" t="n">
        <v>31.1</v>
      </c>
      <c r="O171" t="n">
        <v>28.16</v>
      </c>
      <c r="P171" t="n">
        <v>4.4</v>
      </c>
      <c r="Q171" t="n">
        <v>0</v>
      </c>
    </row>
    <row r="172">
      <c r="A172" t="inlineStr">
        <is>
          <t>XYZ</t>
        </is>
      </c>
      <c r="B172" t="inlineStr">
        <is>
          <t>Block, Inc.</t>
        </is>
      </c>
      <c r="C172" t="inlineStr">
        <is>
          <t>Fintech</t>
        </is>
      </c>
      <c r="D172" t="inlineStr">
        <is>
          <t>US</t>
        </is>
      </c>
      <c r="E172" t="n">
        <v>66.83</v>
      </c>
      <c r="F172" t="n">
        <v>20.5</v>
      </c>
      <c r="G172" t="n">
        <v>23.9</v>
      </c>
      <c r="H172" t="n">
        <v>0.6</v>
      </c>
      <c r="I172" t="n">
        <v>11.8</v>
      </c>
      <c r="J172" t="n">
        <v>6.9</v>
      </c>
      <c r="K172" t="n">
        <v>-0.41</v>
      </c>
      <c r="L172" t="n">
        <v>2.67</v>
      </c>
      <c r="M172" t="n">
        <v>53.4</v>
      </c>
      <c r="N172" t="n">
        <v>-24.6</v>
      </c>
      <c r="O172" t="n">
        <v>84.45</v>
      </c>
      <c r="P172" t="n">
        <v>4.2</v>
      </c>
      <c r="Q172" t="n">
        <v>0</v>
      </c>
    </row>
    <row r="173">
      <c r="A173" t="inlineStr">
        <is>
          <t>NIO</t>
        </is>
      </c>
      <c r="B173" t="inlineStr">
        <is>
          <t>NIO Inc.</t>
        </is>
      </c>
      <c r="C173" t="inlineStr">
        <is>
          <t>China Tech</t>
        </is>
      </c>
      <c r="D173" t="inlineStr">
        <is>
          <t>China</t>
        </is>
      </c>
      <c r="E173" t="n">
        <v>4.64</v>
      </c>
      <c r="F173" t="n">
        <v>-9.4</v>
      </c>
      <c r="G173" t="n">
        <v>-1.8</v>
      </c>
      <c r="I173" t="n">
        <v>-128</v>
      </c>
      <c r="J173" t="n">
        <v>-14.8</v>
      </c>
      <c r="L173" t="n">
        <v>1.06</v>
      </c>
      <c r="M173" t="n">
        <v>63.8</v>
      </c>
      <c r="N173" t="n">
        <v>8.199999999999999</v>
      </c>
      <c r="O173" t="n">
        <v>6.65</v>
      </c>
      <c r="P173" t="n">
        <v>3.9</v>
      </c>
      <c r="Q173" t="n">
        <v>0</v>
      </c>
    </row>
    <row r="174">
      <c r="A174" t="inlineStr">
        <is>
          <t>DDOG</t>
        </is>
      </c>
      <c r="B174" t="inlineStr">
        <is>
          <t>Datadog, Inc.</t>
        </is>
      </c>
      <c r="C174" t="inlineStr">
        <is>
          <t>IA Software</t>
        </is>
      </c>
      <c r="D174" t="inlineStr">
        <is>
          <t>US</t>
        </is>
      </c>
      <c r="E174" t="n">
        <v>130.13</v>
      </c>
      <c r="F174" t="n">
        <v>55.7</v>
      </c>
      <c r="G174" t="n">
        <v>6871</v>
      </c>
      <c r="H174" t="n">
        <v>1.8</v>
      </c>
      <c r="I174" t="n">
        <v>2.8</v>
      </c>
      <c r="J174" t="n">
        <v>-0.7</v>
      </c>
      <c r="K174" t="n">
        <v>-459.6</v>
      </c>
      <c r="L174" t="n">
        <v>1.26</v>
      </c>
      <c r="M174" t="n">
        <v>50.7</v>
      </c>
      <c r="N174" t="n">
        <v>-7.7</v>
      </c>
      <c r="O174" t="n">
        <v>198.37</v>
      </c>
      <c r="P174" t="n">
        <v>4.6</v>
      </c>
      <c r="Q174" t="n">
        <v>0</v>
      </c>
    </row>
    <row r="175">
      <c r="A175" t="inlineStr">
        <is>
          <t>AI</t>
        </is>
      </c>
      <c r="B175" t="inlineStr">
        <is>
          <t>C3.ai, Inc.</t>
        </is>
      </c>
      <c r="C175" t="inlineStr">
        <is>
          <t>IA Software</t>
        </is>
      </c>
      <c r="D175" t="inlineStr">
        <is>
          <t>US</t>
        </is>
      </c>
      <c r="E175" t="n">
        <v>12.69</v>
      </c>
      <c r="F175" t="n">
        <v>-13.3</v>
      </c>
      <c r="G175" t="n">
        <v>-2.9</v>
      </c>
      <c r="H175" t="n">
        <v>1.7</v>
      </c>
      <c r="I175" t="n">
        <v>-37.4</v>
      </c>
      <c r="J175" t="n">
        <v>-149.2</v>
      </c>
      <c r="L175" t="n">
        <v>1.96</v>
      </c>
      <c r="M175" t="n">
        <v>64.5</v>
      </c>
      <c r="N175" t="n">
        <v>-61.3</v>
      </c>
      <c r="O175" t="n">
        <v>14.67</v>
      </c>
      <c r="P175" t="n">
        <v>3</v>
      </c>
      <c r="Q175" t="n">
        <v>0</v>
      </c>
    </row>
    <row r="176">
      <c r="A176" t="inlineStr">
        <is>
          <t>JD</t>
        </is>
      </c>
      <c r="B176" t="inlineStr">
        <is>
          <t>JD.com, Inc.</t>
        </is>
      </c>
      <c r="C176" t="inlineStr">
        <is>
          <t>China Tech</t>
        </is>
      </c>
      <c r="D176" t="inlineStr">
        <is>
          <t>China</t>
        </is>
      </c>
      <c r="E176" t="n">
        <v>29.84</v>
      </c>
      <c r="F176" t="n">
        <v>9.6</v>
      </c>
      <c r="G176" t="n">
        <v>2.7</v>
      </c>
      <c r="H176" t="n">
        <v>-30.6</v>
      </c>
      <c r="I176" t="n">
        <v>9.4</v>
      </c>
      <c r="J176" t="n">
        <v>-0.4</v>
      </c>
      <c r="K176" t="n">
        <v>-3.19</v>
      </c>
      <c r="L176" t="n">
        <v>0.42</v>
      </c>
      <c r="M176" t="n">
        <v>38.8</v>
      </c>
      <c r="N176" t="n">
        <v>-24.6</v>
      </c>
      <c r="O176" t="n">
        <v>40.92</v>
      </c>
      <c r="P176" t="n">
        <v>4.6</v>
      </c>
      <c r="Q176" t="n">
        <v>335</v>
      </c>
    </row>
    <row r="177">
      <c r="A177" t="inlineStr">
        <is>
          <t>LI</t>
        </is>
      </c>
      <c r="B177" t="inlineStr">
        <is>
          <t>Li Auto Inc.</t>
        </is>
      </c>
      <c r="C177" t="inlineStr">
        <is>
          <t>China Tech</t>
        </is>
      </c>
      <c r="D177" t="inlineStr">
        <is>
          <t>China</t>
        </is>
      </c>
      <c r="E177" t="n">
        <v>16.71</v>
      </c>
      <c r="F177" t="n">
        <v>20.1</v>
      </c>
      <c r="G177" t="n">
        <v>-6.1</v>
      </c>
      <c r="H177" t="n">
        <v>-65.09999999999999</v>
      </c>
      <c r="I177" t="n">
        <v>5.3</v>
      </c>
      <c r="J177" t="n">
        <v>-4.3</v>
      </c>
      <c r="K177" t="n">
        <v>-10.53</v>
      </c>
      <c r="L177" t="n">
        <v>0.55</v>
      </c>
      <c r="M177" t="n">
        <v>48.2</v>
      </c>
      <c r="N177" t="n">
        <v>-28</v>
      </c>
      <c r="O177" t="n">
        <v>23.86</v>
      </c>
      <c r="P177" t="n">
        <v>3.7</v>
      </c>
      <c r="Q17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40" customWidth="1" min="8" max="8"/>
  </cols>
  <sheetData>
    <row r="1">
      <c r="A1" s="1" t="inlineStr">
        <is>
          <t>🎯 ACTION LIST - 25 Jan 2026</t>
        </is>
      </c>
    </row>
    <row r="3">
      <c r="A3" s="22" t="inlineStr">
        <is>
          <t>COMPRAR (Score &gt;=60 Y Upside positivo)</t>
        </is>
      </c>
    </row>
    <row r="4">
      <c r="A4" s="23" t="inlineStr">
        <is>
          <t>Ticker</t>
        </is>
      </c>
      <c r="B4" s="23" t="inlineStr">
        <is>
          <t>Empresa</t>
        </is>
      </c>
      <c r="C4" s="23" t="inlineStr">
        <is>
          <t>Score</t>
        </is>
      </c>
      <c r="D4" s="23" t="inlineStr">
        <is>
          <t>Precio</t>
        </is>
      </c>
      <c r="E4" s="23" t="inlineStr">
        <is>
          <t>Target</t>
        </is>
      </c>
      <c r="F4" s="23" t="inlineStr">
        <is>
          <t>Upside%</t>
        </is>
      </c>
      <c r="G4" s="23" t="inlineStr">
        <is>
          <t>Senal</t>
        </is>
      </c>
      <c r="H4" s="23" t="inlineStr">
        <is>
          <t>Drivers</t>
        </is>
      </c>
    </row>
    <row r="5">
      <c r="A5" s="5" t="inlineStr">
        <is>
          <t>GSK</t>
        </is>
      </c>
      <c r="B5" s="6" t="inlineStr">
        <is>
          <t>GSK plc</t>
        </is>
      </c>
      <c r="C5" s="6" t="n">
        <v>68</v>
      </c>
      <c r="D5" s="6" t="n">
        <v>49.15</v>
      </c>
      <c r="E5" s="6" t="n">
        <v>51.98</v>
      </c>
      <c r="F5" s="6" t="inlineStr">
        <is>
          <t>6%</t>
        </is>
      </c>
      <c r="G5" s="6" t="inlineStr">
        <is>
          <t>BUY</t>
        </is>
      </c>
      <c r="H5" s="6" t="inlineStr">
        <is>
          <t>Momentum(+13.2) + Quality(+2.4) + LowVol(+1.5)</t>
        </is>
      </c>
    </row>
    <row r="6">
      <c r="A6" s="5" t="inlineStr">
        <is>
          <t>ABBV</t>
        </is>
      </c>
      <c r="B6" s="6" t="inlineStr">
        <is>
          <t>AbbVie Inc.</t>
        </is>
      </c>
      <c r="C6" s="6" t="n">
        <v>66.3</v>
      </c>
      <c r="D6" s="6" t="n">
        <v>219.26</v>
      </c>
      <c r="E6" s="6" t="n">
        <v>245.22</v>
      </c>
      <c r="F6" s="24" t="inlineStr">
        <is>
          <t>12%</t>
        </is>
      </c>
      <c r="G6" s="24" t="inlineStr">
        <is>
          <t>STRONG BUY</t>
        </is>
      </c>
      <c r="H6" s="6" t="inlineStr">
        <is>
          <t>Momentum(+10.3) + Quality(+2.8) + LowVol(+1.6)</t>
        </is>
      </c>
    </row>
    <row r="7">
      <c r="A7" s="5" t="inlineStr">
        <is>
          <t>JNJ</t>
        </is>
      </c>
      <c r="B7" s="6" t="inlineStr">
        <is>
          <t>Johnson &amp; Johnson</t>
        </is>
      </c>
      <c r="C7" s="6" t="n">
        <v>65.8</v>
      </c>
      <c r="D7" s="6" t="n">
        <v>220.14</v>
      </c>
      <c r="E7" s="6" t="n">
        <v>224.09</v>
      </c>
      <c r="F7" s="6" t="inlineStr">
        <is>
          <t>2%</t>
        </is>
      </c>
      <c r="G7" s="6" t="inlineStr">
        <is>
          <t>BUY</t>
        </is>
      </c>
      <c r="H7" s="6" t="inlineStr">
        <is>
          <t>Momentum(+11.5) + LowVol(+2.1) + Quality(+2.0)</t>
        </is>
      </c>
    </row>
    <row r="8">
      <c r="A8" s="5" t="inlineStr">
        <is>
          <t>AZN</t>
        </is>
      </c>
      <c r="B8" s="6" t="inlineStr">
        <is>
          <t>Astrazeneca PLC</t>
        </is>
      </c>
      <c r="C8" s="6" t="n">
        <v>64.59999999999999</v>
      </c>
      <c r="D8" s="6" t="n">
        <v>92.95</v>
      </c>
      <c r="E8" s="6" t="n">
        <v>99.05</v>
      </c>
      <c r="F8" s="6" t="inlineStr">
        <is>
          <t>7%</t>
        </is>
      </c>
      <c r="G8" s="6" t="inlineStr">
        <is>
          <t>BUY</t>
        </is>
      </c>
      <c r="H8" s="6" t="inlineStr">
        <is>
          <t>Momentum(+11.1) + LowVol(+1.9) + Value(+1.3)</t>
        </is>
      </c>
    </row>
    <row r="9">
      <c r="A9" s="5" t="inlineStr">
        <is>
          <t>WPM</t>
        </is>
      </c>
      <c r="B9" s="6" t="inlineStr">
        <is>
          <t>Wheaton Precious Metals C</t>
        </is>
      </c>
      <c r="C9" s="6" t="n">
        <v>64.3</v>
      </c>
      <c r="D9" s="6" t="n">
        <v>146.16</v>
      </c>
      <c r="E9" s="6" t="n">
        <v>153.22</v>
      </c>
      <c r="F9" s="6" t="inlineStr">
        <is>
          <t>5%</t>
        </is>
      </c>
      <c r="G9" s="6" t="inlineStr">
        <is>
          <t>BUY</t>
        </is>
      </c>
      <c r="H9" s="6" t="inlineStr">
        <is>
          <t>Momentum(+14.5) + Quality(+3.7)</t>
        </is>
      </c>
    </row>
    <row r="10">
      <c r="A10" s="5" t="inlineStr">
        <is>
          <t>MRK</t>
        </is>
      </c>
      <c r="B10" s="6" t="inlineStr">
        <is>
          <t>Merck &amp; Company, Inc.</t>
        </is>
      </c>
      <c r="C10" s="6" t="n">
        <v>63.8</v>
      </c>
      <c r="D10" s="6" t="n">
        <v>108.18</v>
      </c>
      <c r="E10" s="6" t="n">
        <v>115.33</v>
      </c>
      <c r="F10" s="6" t="inlineStr">
        <is>
          <t>7%</t>
        </is>
      </c>
      <c r="G10" s="6" t="inlineStr">
        <is>
          <t>BUY</t>
        </is>
      </c>
      <c r="H10" s="6" t="inlineStr">
        <is>
          <t>Momentum(+6.8) + Quality(+3.9) + Value(+1.8)</t>
        </is>
      </c>
    </row>
    <row r="11">
      <c r="A11" s="5" t="inlineStr">
        <is>
          <t>RNMBY</t>
        </is>
      </c>
      <c r="B11" s="6" t="inlineStr">
        <is>
          <t>Rheinmetall AG</t>
        </is>
      </c>
      <c r="C11" s="6" t="n">
        <v>63.4</v>
      </c>
      <c r="D11" s="6" t="n">
        <v>433.47</v>
      </c>
      <c r="E11" s="6" t="n"/>
      <c r="F11" s="6" t="inlineStr"/>
      <c r="G11" s="6" t="inlineStr">
        <is>
          <t>BUY</t>
        </is>
      </c>
      <c r="H11" s="6" t="inlineStr">
        <is>
          <t>Momentum(+11.4)</t>
        </is>
      </c>
    </row>
    <row r="12">
      <c r="A12" s="5" t="inlineStr">
        <is>
          <t>BIIB</t>
        </is>
      </c>
      <c r="B12" s="6" t="inlineStr">
        <is>
          <t>Biogen Inc.</t>
        </is>
      </c>
      <c r="C12" s="6" t="n">
        <v>61.8</v>
      </c>
      <c r="D12" s="6" t="n">
        <v>171.59</v>
      </c>
      <c r="E12" s="6" t="n">
        <v>192.14</v>
      </c>
      <c r="F12" s="24" t="inlineStr">
        <is>
          <t>12%</t>
        </is>
      </c>
      <c r="G12" s="24" t="inlineStr">
        <is>
          <t>STRONG BUY</t>
        </is>
      </c>
      <c r="H12" s="6" t="inlineStr">
        <is>
          <t>Momentum(+8.1) + Value(+2.8) + LowVol(+1.2)</t>
        </is>
      </c>
    </row>
    <row r="13">
      <c r="A13" s="5" t="inlineStr">
        <is>
          <t>LLY</t>
        </is>
      </c>
      <c r="B13" s="6" t="inlineStr">
        <is>
          <t>Eli Lilly and Company</t>
        </is>
      </c>
      <c r="C13" s="6" t="n">
        <v>61.7</v>
      </c>
      <c r="D13" s="6" t="n">
        <v>1064.29</v>
      </c>
      <c r="E13" s="6" t="n">
        <v>1110.71</v>
      </c>
      <c r="F13" s="6" t="inlineStr">
        <is>
          <t>4%</t>
        </is>
      </c>
      <c r="G13" s="6" t="inlineStr">
        <is>
          <t>BUY</t>
        </is>
      </c>
      <c r="H13" s="6" t="inlineStr">
        <is>
          <t>Momentum(+10.5) + Quality(+4.1) + LowVol(+0.5)</t>
        </is>
      </c>
    </row>
    <row r="14">
      <c r="A14" s="5" t="inlineStr">
        <is>
          <t>REGN</t>
        </is>
      </c>
      <c r="B14" s="6" t="inlineStr">
        <is>
          <t>Regeneron Pharmaceuticals</t>
        </is>
      </c>
      <c r="C14" s="6" t="n">
        <v>61.1</v>
      </c>
      <c r="D14" s="6" t="n">
        <v>753.55</v>
      </c>
      <c r="E14" s="6" t="n">
        <v>830.04</v>
      </c>
      <c r="F14" s="24" t="inlineStr">
        <is>
          <t>10%</t>
        </is>
      </c>
      <c r="G14" s="24" t="inlineStr">
        <is>
          <t>STRONG BUY</t>
        </is>
      </c>
      <c r="H14" s="6" t="inlineStr">
        <is>
          <t>Momentum(+7.3) + Quality(+2.5) + Value(+1.1)</t>
        </is>
      </c>
    </row>
    <row r="15">
      <c r="A15" s="5" t="inlineStr">
        <is>
          <t>HSBC</t>
        </is>
      </c>
      <c r="B15" s="6" t="inlineStr">
        <is>
          <t>HSBC Holdings, plc.</t>
        </is>
      </c>
      <c r="C15" s="6" t="n">
        <v>60.5</v>
      </c>
      <c r="D15" s="6" t="n">
        <v>83.94</v>
      </c>
      <c r="E15" s="6" t="n">
        <v>85.44</v>
      </c>
      <c r="F15" s="6" t="inlineStr">
        <is>
          <t>2%</t>
        </is>
      </c>
      <c r="G15" s="6" t="inlineStr">
        <is>
          <t>BUY</t>
        </is>
      </c>
      <c r="H15" s="6" t="inlineStr">
        <is>
          <t>Momentum(+4.8) + Quality(+3.0) + LowVol(+1.5)</t>
        </is>
      </c>
    </row>
    <row r="16">
      <c r="A16" s="5" t="inlineStr">
        <is>
          <t>BA.L</t>
        </is>
      </c>
      <c r="B16" s="6" t="inlineStr">
        <is>
          <t>BAE SYSTEMS PLC ORD 2.5P</t>
        </is>
      </c>
      <c r="C16" s="6" t="n">
        <v>60.2</v>
      </c>
      <c r="D16" s="6" t="n">
        <v>2027</v>
      </c>
      <c r="E16" s="6" t="n">
        <v>2135.11</v>
      </c>
      <c r="F16" s="6" t="inlineStr">
        <is>
          <t>5%</t>
        </is>
      </c>
      <c r="G16" s="6" t="inlineStr">
        <is>
          <t>BUY</t>
        </is>
      </c>
      <c r="H16" s="6" t="inlineStr">
        <is>
          <t>Momentum(+7.2) + LowVol(+1.3)</t>
        </is>
      </c>
    </row>
    <row r="18">
      <c r="A18" s="25" t="inlineStr">
        <is>
          <t>ACUMULAR (Score 50-59 Y Upside positivo)</t>
        </is>
      </c>
    </row>
    <row r="19">
      <c r="A19" s="26" t="inlineStr">
        <is>
          <t>Ticker</t>
        </is>
      </c>
      <c r="B19" s="26" t="inlineStr">
        <is>
          <t>Empresa</t>
        </is>
      </c>
      <c r="C19" s="26" t="inlineStr">
        <is>
          <t>Score</t>
        </is>
      </c>
      <c r="D19" s="26" t="inlineStr">
        <is>
          <t>Precio</t>
        </is>
      </c>
      <c r="E19" s="26" t="inlineStr">
        <is>
          <t>Target</t>
        </is>
      </c>
      <c r="F19" s="26" t="inlineStr">
        <is>
          <t>Upside%</t>
        </is>
      </c>
      <c r="G19" s="26" t="inlineStr">
        <is>
          <t>Drivers</t>
        </is>
      </c>
    </row>
    <row r="20">
      <c r="A20" s="5" t="inlineStr">
        <is>
          <t>DB</t>
        </is>
      </c>
      <c r="B20" s="6" t="inlineStr">
        <is>
          <t>Deutsche Bank AG</t>
        </is>
      </c>
      <c r="C20" s="6" t="n">
        <v>59.8</v>
      </c>
      <c r="D20" s="6" t="n">
        <v>39.08</v>
      </c>
      <c r="E20" s="6" t="n">
        <v>42.9</v>
      </c>
      <c r="F20" s="27" t="inlineStr">
        <is>
          <t>10%</t>
        </is>
      </c>
      <c r="G20" s="6" t="inlineStr">
        <is>
          <t>Momentum(+6.8) + Quality(+2.1) + Value(+1.4)</t>
        </is>
      </c>
    </row>
    <row r="21">
      <c r="A21" s="5" t="inlineStr">
        <is>
          <t>SPG</t>
        </is>
      </c>
      <c r="B21" s="6" t="inlineStr">
        <is>
          <t>Simon Property Group, Inc</t>
        </is>
      </c>
      <c r="C21" s="6" t="n">
        <v>59.3</v>
      </c>
      <c r="D21" s="6" t="n">
        <v>184.73</v>
      </c>
      <c r="E21" s="6" t="n">
        <v>197.15</v>
      </c>
      <c r="F21" s="27" t="inlineStr">
        <is>
          <t>7%</t>
        </is>
      </c>
      <c r="G21" s="6" t="inlineStr">
        <is>
          <t>Momentum(+7.5) + Quality(+2.7) + LowVol(+0.0)</t>
        </is>
      </c>
    </row>
    <row r="22">
      <c r="A22" s="5" t="inlineStr">
        <is>
          <t>VRTX</t>
        </is>
      </c>
      <c r="B22" s="6" t="inlineStr">
        <is>
          <t>Vertex Pharmaceuticals In</t>
        </is>
      </c>
      <c r="C22" s="6" t="n">
        <v>59.2</v>
      </c>
      <c r="D22" s="6" t="n">
        <v>468.41</v>
      </c>
      <c r="E22" s="6" t="n">
        <v>506.24</v>
      </c>
      <c r="F22" s="27" t="inlineStr">
        <is>
          <t>8%</t>
        </is>
      </c>
      <c r="G22" s="6" t="inlineStr">
        <is>
          <t>Momentum(+5.6) + Quality(+4.2) + LowVol(+0.9)</t>
        </is>
      </c>
    </row>
    <row r="23">
      <c r="A23" s="5" t="inlineStr">
        <is>
          <t>NU</t>
        </is>
      </c>
      <c r="B23" s="6" t="inlineStr">
        <is>
          <t>Nu Holdings Ltd.</t>
        </is>
      </c>
      <c r="C23" s="6" t="n">
        <v>58.8</v>
      </c>
      <c r="D23" s="6" t="n">
        <v>18.04</v>
      </c>
      <c r="E23" s="6" t="n">
        <v>19.82</v>
      </c>
      <c r="F23" s="27" t="inlineStr">
        <is>
          <t>10%</t>
        </is>
      </c>
      <c r="G23" s="6" t="inlineStr">
        <is>
          <t>Quality(+6.1) + Momentum(+3.6) + Value(+0.0)</t>
        </is>
      </c>
    </row>
    <row r="24">
      <c r="A24" s="5" t="inlineStr">
        <is>
          <t>AMX</t>
        </is>
      </c>
      <c r="B24" s="6" t="inlineStr">
        <is>
          <t xml:space="preserve">America Movil, S.A.B. de </t>
        </is>
      </c>
      <c r="C24" s="6" t="n">
        <v>58.7</v>
      </c>
      <c r="D24" s="6" t="n">
        <v>20.76</v>
      </c>
      <c r="E24" s="6" t="n">
        <v>23.4</v>
      </c>
      <c r="F24" s="27" t="inlineStr">
        <is>
          <t>13%</t>
        </is>
      </c>
      <c r="G24" s="6" t="inlineStr">
        <is>
          <t>Momentum(+4.5) + Value(+3.4) + LowVol(+1.9)</t>
        </is>
      </c>
    </row>
    <row r="25">
      <c r="A25" s="5" t="inlineStr">
        <is>
          <t>BMY</t>
        </is>
      </c>
      <c r="B25" s="6" t="inlineStr">
        <is>
          <t>Bristol-Myers Squibb Comp</t>
        </is>
      </c>
      <c r="C25" s="6" t="n">
        <v>58.4</v>
      </c>
      <c r="D25" s="6" t="n">
        <v>54.65</v>
      </c>
      <c r="E25" s="6" t="n">
        <v>56.96</v>
      </c>
      <c r="F25" s="6" t="inlineStr">
        <is>
          <t>4%</t>
        </is>
      </c>
      <c r="G25" s="6" t="inlineStr">
        <is>
          <t>Value(+3.4) + Momentum(+1.9) + Quality(+1.7)</t>
        </is>
      </c>
    </row>
    <row r="26">
      <c r="A26" s="5" t="inlineStr">
        <is>
          <t>KO</t>
        </is>
      </c>
      <c r="B26" s="6" t="inlineStr">
        <is>
          <t>Coca-Cola Company (The)</t>
        </is>
      </c>
      <c r="C26" s="6" t="n">
        <v>58.1</v>
      </c>
      <c r="D26" s="6" t="n">
        <v>72.88</v>
      </c>
      <c r="E26" s="6" t="n">
        <v>79.23</v>
      </c>
      <c r="F26" s="27" t="inlineStr">
        <is>
          <t>9%</t>
        </is>
      </c>
      <c r="G26" s="6" t="inlineStr">
        <is>
          <t>Momentum(+5.9) + Quality(+2.2) + LowVol(+2.0)</t>
        </is>
      </c>
    </row>
    <row r="27">
      <c r="A27" s="5" t="inlineStr">
        <is>
          <t>PFE</t>
        </is>
      </c>
      <c r="B27" s="6" t="inlineStr">
        <is>
          <t>Pfizer, Inc.</t>
        </is>
      </c>
      <c r="C27" s="6" t="n">
        <v>57.9</v>
      </c>
      <c r="D27" s="6" t="n">
        <v>25.65</v>
      </c>
      <c r="E27" s="6" t="n">
        <v>28.66</v>
      </c>
      <c r="F27" s="27" t="inlineStr">
        <is>
          <t>12%</t>
        </is>
      </c>
      <c r="G27" s="6" t="inlineStr">
        <is>
          <t>Momentum(+3.9) + Value(+3.2) + LowVol(+1.4)</t>
        </is>
      </c>
    </row>
    <row r="28">
      <c r="A28" s="5" t="inlineStr">
        <is>
          <t>O</t>
        </is>
      </c>
      <c r="B28" s="6" t="inlineStr">
        <is>
          <t>Realty Income Corporation</t>
        </is>
      </c>
      <c r="C28" s="6" t="n">
        <v>57.9</v>
      </c>
      <c r="D28" s="6" t="n">
        <v>60.74</v>
      </c>
      <c r="E28" s="6" t="n">
        <v>63.77</v>
      </c>
      <c r="F28" s="6" t="inlineStr">
        <is>
          <t>5%</t>
        </is>
      </c>
      <c r="G28" s="6" t="inlineStr">
        <is>
          <t>Momentum(+9.4) + LowVol(+1.5)</t>
        </is>
      </c>
    </row>
    <row r="29">
      <c r="A29" s="5" t="inlineStr">
        <is>
          <t>FSLR</t>
        </is>
      </c>
      <c r="B29" s="6" t="inlineStr">
        <is>
          <t>First Solar, Inc.</t>
        </is>
      </c>
      <c r="C29" s="6" t="n">
        <v>57.4</v>
      </c>
      <c r="D29" s="6" t="n">
        <v>242.15</v>
      </c>
      <c r="E29" s="6" t="n">
        <v>279.41</v>
      </c>
      <c r="F29" s="27" t="inlineStr">
        <is>
          <t>15%</t>
        </is>
      </c>
      <c r="G29" s="6" t="inlineStr">
        <is>
          <t>Momentum(+6.7) + Quality(+2.3) + Value(+0.6)</t>
        </is>
      </c>
    </row>
    <row r="31">
      <c r="A31" s="28" t="inlineStr">
        <is>
          <t>🔴 EVITAR (Score &lt;40)</t>
        </is>
      </c>
    </row>
    <row r="32">
      <c r="A32" s="29" t="inlineStr">
        <is>
          <t>Ticker</t>
        </is>
      </c>
      <c r="B32" s="29" t="inlineStr">
        <is>
          <t>Empresa</t>
        </is>
      </c>
      <c r="C32" s="29" t="inlineStr">
        <is>
          <t>Score</t>
        </is>
      </c>
      <c r="D32" s="29" t="inlineStr">
        <is>
          <t>Señal</t>
        </is>
      </c>
      <c r="E32" s="29" t="inlineStr">
        <is>
          <t>Detractors</t>
        </is>
      </c>
    </row>
    <row r="33">
      <c r="A33" s="6" t="inlineStr">
        <is>
          <t>META</t>
        </is>
      </c>
      <c r="B33" s="6" t="inlineStr">
        <is>
          <t>Meta Platforms, Inc.</t>
        </is>
      </c>
      <c r="C33" s="6" t="n">
        <v>39.9</v>
      </c>
      <c r="D33" s="6" t="inlineStr">
        <is>
          <t>REDUCE</t>
        </is>
      </c>
      <c r="E33" s="6" t="inlineStr">
        <is>
          <t>Momentum(12.2) - Value(1.2) - LowVol(1.0)</t>
        </is>
      </c>
    </row>
    <row r="34">
      <c r="A34" s="6" t="inlineStr">
        <is>
          <t>INTC</t>
        </is>
      </c>
      <c r="B34" s="6" t="inlineStr">
        <is>
          <t>Intel Corporation</t>
        </is>
      </c>
      <c r="C34" s="6" t="n">
        <v>39.8</v>
      </c>
      <c r="D34" s="6" t="inlineStr">
        <is>
          <t>REDUCE</t>
        </is>
      </c>
      <c r="E34" s="6" t="inlineStr">
        <is>
          <t>Quality(4.0) - Value(3.1) - LowVol(2.0)</t>
        </is>
      </c>
    </row>
    <row r="35">
      <c r="A35" s="6" t="inlineStr">
        <is>
          <t>IFNNY</t>
        </is>
      </c>
      <c r="B35" s="6" t="inlineStr">
        <is>
          <t>Infineon Technologies AG</t>
        </is>
      </c>
      <c r="C35" s="6" t="n">
        <v>39.7</v>
      </c>
      <c r="D35" s="6" t="inlineStr">
        <is>
          <t>REDUCE</t>
        </is>
      </c>
      <c r="E35" s="6" t="inlineStr">
        <is>
          <t>Momentum(6.2) - Quality(1.9) - LowVol(1.7)</t>
        </is>
      </c>
    </row>
    <row r="36">
      <c r="A36" s="6" t="inlineStr">
        <is>
          <t>MDB</t>
        </is>
      </c>
      <c r="B36" s="6" t="inlineStr">
        <is>
          <t>MongoDB, Inc.</t>
        </is>
      </c>
      <c r="C36" s="6" t="n">
        <v>39.3</v>
      </c>
      <c r="D36" s="6" t="inlineStr">
        <is>
          <t>REDUCE</t>
        </is>
      </c>
      <c r="E36" s="6" t="inlineStr">
        <is>
          <t>Quality(4.6) - Momentum(3.5) - LowVol(2.0)</t>
        </is>
      </c>
    </row>
    <row r="37">
      <c r="A37" s="6" t="inlineStr">
        <is>
          <t>RACE</t>
        </is>
      </c>
      <c r="B37" s="6" t="inlineStr">
        <is>
          <t>Ferrari N.V.</t>
        </is>
      </c>
      <c r="C37" s="6" t="n">
        <v>39.1</v>
      </c>
      <c r="D37" s="6" t="inlineStr">
        <is>
          <t>REDUCE</t>
        </is>
      </c>
      <c r="E37" s="6" t="inlineStr">
        <is>
          <t>Momentum(11.7) - Value(2.6)</t>
        </is>
      </c>
    </row>
    <row r="38">
      <c r="A38" s="6" t="inlineStr">
        <is>
          <t>SE</t>
        </is>
      </c>
      <c r="B38" s="6" t="inlineStr">
        <is>
          <t>Sea Limited</t>
        </is>
      </c>
      <c r="C38" s="6" t="n">
        <v>38.5</v>
      </c>
      <c r="D38" s="6" t="inlineStr">
        <is>
          <t>REDUCE</t>
        </is>
      </c>
      <c r="E38" s="6" t="inlineStr">
        <is>
          <t>Momentum(7.3) - Value(2.8) - LowVol(1.8)</t>
        </is>
      </c>
    </row>
    <row r="39">
      <c r="A39" s="6" t="inlineStr">
        <is>
          <t>KER.PA</t>
        </is>
      </c>
      <c r="B39" s="6" t="inlineStr">
        <is>
          <t>KERING</t>
        </is>
      </c>
      <c r="C39" s="6" t="n">
        <v>38.4</v>
      </c>
      <c r="D39" s="6" t="inlineStr">
        <is>
          <t>REDUCE</t>
        </is>
      </c>
      <c r="E39" s="6" t="inlineStr">
        <is>
          <t>Quality(4.8) - Momentum(4.7) - LowVol(1.1)</t>
        </is>
      </c>
    </row>
    <row r="40">
      <c r="A40" s="6" t="inlineStr">
        <is>
          <t>MC.PA</t>
        </is>
      </c>
      <c r="B40" s="6" t="inlineStr">
        <is>
          <t>LVMH</t>
        </is>
      </c>
      <c r="C40" s="6" t="n">
        <v>38.3</v>
      </c>
      <c r="D40" s="6" t="inlineStr">
        <is>
          <t>REDUCE</t>
        </is>
      </c>
      <c r="E40" s="6" t="inlineStr">
        <is>
          <t>Momentum(11.4) - Quality(0.4)</t>
        </is>
      </c>
    </row>
    <row r="41">
      <c r="A41" s="6" t="inlineStr">
        <is>
          <t>BABA</t>
        </is>
      </c>
      <c r="B41" s="6" t="inlineStr">
        <is>
          <t>Alibaba Group Holding Lim</t>
        </is>
      </c>
      <c r="C41" s="6" t="n">
        <v>38.2</v>
      </c>
      <c r="D41" s="6" t="inlineStr">
        <is>
          <t>REDUCE</t>
        </is>
      </c>
      <c r="E41" s="6" t="inlineStr">
        <is>
          <t>Value(1.9) - Quality(1.5) - LowVol(0.1)</t>
        </is>
      </c>
    </row>
    <row r="42">
      <c r="A42" s="6" t="inlineStr">
        <is>
          <t>SSNLF</t>
        </is>
      </c>
      <c r="B42" s="6" t="inlineStr">
        <is>
          <t>SAMSUNG ELECTRONICS CO</t>
        </is>
      </c>
      <c r="C42" s="6" t="n">
        <v>38</v>
      </c>
      <c r="D42" s="6" t="inlineStr">
        <is>
          <t>REDUCE</t>
        </is>
      </c>
      <c r="E42" s="6" t="inlineStr">
        <is>
          <t>Momentum(14.7) - LowVol(1.2) - Quality(0.0)</t>
        </is>
      </c>
    </row>
    <row r="43">
      <c r="A43" s="6" t="inlineStr">
        <is>
          <t>BRBY.L</t>
        </is>
      </c>
      <c r="B43" s="6" t="inlineStr">
        <is>
          <t>BURBERRY GROUP PLC ORD 0.</t>
        </is>
      </c>
      <c r="C43" s="6" t="n">
        <v>37.1</v>
      </c>
      <c r="D43" s="6" t="inlineStr">
        <is>
          <t>REDUCE</t>
        </is>
      </c>
      <c r="E43" s="6" t="inlineStr">
        <is>
          <t>Quality(6.4) - Momentum(5.3) - Value(0.9)</t>
        </is>
      </c>
    </row>
    <row r="44">
      <c r="A44" s="6" t="inlineStr">
        <is>
          <t>PYPL</t>
        </is>
      </c>
      <c r="B44" s="6" t="inlineStr">
        <is>
          <t>PayPal Holdings, Inc.</t>
        </is>
      </c>
      <c r="C44" s="6" t="n">
        <v>36.6</v>
      </c>
      <c r="D44" s="6" t="inlineStr">
        <is>
          <t>REDUCE</t>
        </is>
      </c>
      <c r="E44" s="6" t="inlineStr">
        <is>
          <t>Momentum(16.6) - LowVol(1.1)</t>
        </is>
      </c>
    </row>
    <row r="45">
      <c r="A45" s="6" t="inlineStr">
        <is>
          <t>ORSTED.CO</t>
        </is>
      </c>
      <c r="B45" s="6" t="inlineStr">
        <is>
          <t>ORSTED A/S</t>
        </is>
      </c>
      <c r="C45" s="6" t="n">
        <v>36.5</v>
      </c>
      <c r="D45" s="6" t="inlineStr">
        <is>
          <t>REDUCE</t>
        </is>
      </c>
      <c r="E45" s="6" t="inlineStr">
        <is>
          <t>Momentum(6.7) - Quality(5.6) - LowVol(0.8)</t>
        </is>
      </c>
    </row>
    <row r="46">
      <c r="A46" s="6" t="inlineStr">
        <is>
          <t>MELI</t>
        </is>
      </c>
      <c r="B46" s="6" t="inlineStr">
        <is>
          <t>MercadoLibre, Inc.</t>
        </is>
      </c>
      <c r="C46" s="6" t="n">
        <v>36.5</v>
      </c>
      <c r="D46" s="6" t="inlineStr">
        <is>
          <t>REDUCE</t>
        </is>
      </c>
      <c r="E46" s="6" t="inlineStr">
        <is>
          <t>Momentum(8.3) - Value(3.9) - LowVol(1.2)</t>
        </is>
      </c>
    </row>
    <row r="47">
      <c r="A47" s="6" t="inlineStr">
        <is>
          <t>PDD</t>
        </is>
      </c>
      <c r="B47" s="6" t="inlineStr">
        <is>
          <t>PDD Holdings Inc.</t>
        </is>
      </c>
      <c r="C47" s="6" t="n">
        <v>36.1</v>
      </c>
      <c r="D47" s="6" t="inlineStr">
        <is>
          <t>REDUCE</t>
        </is>
      </c>
      <c r="E47" s="6" t="inlineStr">
        <is>
          <t>Momentum(12.9)</t>
        </is>
      </c>
    </row>
    <row r="48">
      <c r="A48" s="6" t="inlineStr">
        <is>
          <t>QCOM</t>
        </is>
      </c>
      <c r="B48" s="6" t="inlineStr">
        <is>
          <t>QUALCOMM Incorporated</t>
        </is>
      </c>
      <c r="C48" s="6" t="n">
        <v>36</v>
      </c>
      <c r="D48" s="6" t="inlineStr">
        <is>
          <t>REDUCE</t>
        </is>
      </c>
      <c r="E48" s="6" t="inlineStr">
        <is>
          <t>Momentum(16.9) - LowVol(0.9)</t>
        </is>
      </c>
    </row>
    <row r="49">
      <c r="A49" s="6" t="inlineStr">
        <is>
          <t>PATH</t>
        </is>
      </c>
      <c r="B49" s="6" t="inlineStr">
        <is>
          <t>UiPath, Inc.</t>
        </is>
      </c>
      <c r="C49" s="6" t="n">
        <v>35.7</v>
      </c>
      <c r="D49" s="6" t="inlineStr">
        <is>
          <t>REDUCE</t>
        </is>
      </c>
      <c r="E49" s="6" t="inlineStr">
        <is>
          <t>Momentum(11.7) - LowVol(1.4) - Value(0.8)</t>
        </is>
      </c>
    </row>
    <row r="50">
      <c r="A50" s="6" t="inlineStr">
        <is>
          <t>GRAB</t>
        </is>
      </c>
      <c r="B50" s="6" t="inlineStr">
        <is>
          <t>Grab Holdings Limited</t>
        </is>
      </c>
      <c r="C50" s="6" t="n">
        <v>35.3</v>
      </c>
      <c r="D50" s="6" t="inlineStr">
        <is>
          <t>REDUCE</t>
        </is>
      </c>
      <c r="E50" s="6" t="inlineStr">
        <is>
          <t>Momentum(8.7) - Value(3.3) - Quality(1.8)</t>
        </is>
      </c>
    </row>
    <row r="51">
      <c r="A51" s="6" t="inlineStr">
        <is>
          <t>SE</t>
        </is>
      </c>
      <c r="B51" s="6" t="inlineStr">
        <is>
          <t>Sea Limited</t>
        </is>
      </c>
      <c r="C51" s="6" t="n">
        <v>35.1</v>
      </c>
      <c r="D51" s="6" t="inlineStr">
        <is>
          <t>REDUCE</t>
        </is>
      </c>
      <c r="E51" s="6" t="inlineStr">
        <is>
          <t>Momentum(10.5) - Value(2.9) - LowVol(1.9)</t>
        </is>
      </c>
    </row>
    <row r="52">
      <c r="A52" s="6" t="inlineStr">
        <is>
          <t>AMZN</t>
        </is>
      </c>
      <c r="B52" s="6" t="inlineStr">
        <is>
          <t>Amazon.com, Inc.</t>
        </is>
      </c>
      <c r="C52" s="6" t="n">
        <v>34.9</v>
      </c>
      <c r="D52" s="6" t="inlineStr">
        <is>
          <t>REDUCE</t>
        </is>
      </c>
      <c r="E52" s="6" t="inlineStr">
        <is>
          <t>Momentum(12.2) - Value(2.1) - LowVol(0.9)</t>
        </is>
      </c>
    </row>
    <row r="53">
      <c r="A53" s="6" t="inlineStr">
        <is>
          <t>MSFT</t>
        </is>
      </c>
      <c r="B53" s="6" t="inlineStr">
        <is>
          <t>Microsoft Corporation</t>
        </is>
      </c>
      <c r="C53" s="6" t="n">
        <v>34.7</v>
      </c>
      <c r="D53" s="6" t="inlineStr">
        <is>
          <t>REDUCE</t>
        </is>
      </c>
      <c r="E53" s="6" t="inlineStr">
        <is>
          <t>Momentum(11.8) - Congress(6.9) - Value(1.8)</t>
        </is>
      </c>
    </row>
    <row r="54">
      <c r="A54" s="6" t="inlineStr">
        <is>
          <t>SNOW</t>
        </is>
      </c>
      <c r="B54" s="6" t="inlineStr">
        <is>
          <t>Snowflake Inc.</t>
        </is>
      </c>
      <c r="C54" s="6" t="n">
        <v>34.4</v>
      </c>
      <c r="D54" s="6" t="inlineStr">
        <is>
          <t>REDUCE</t>
        </is>
      </c>
      <c r="E54" s="6" t="inlineStr">
        <is>
          <t>Momentum(9.0) - Quality(5.1) - LowVol(1.2)</t>
        </is>
      </c>
    </row>
    <row r="55">
      <c r="A55" s="6" t="inlineStr">
        <is>
          <t>AFRM</t>
        </is>
      </c>
      <c r="B55" s="6" t="inlineStr">
        <is>
          <t>Affirm Holdings, Inc.</t>
        </is>
      </c>
      <c r="C55" s="6" t="n">
        <v>33.9</v>
      </c>
      <c r="D55" s="6" t="inlineStr">
        <is>
          <t>REDUCE</t>
        </is>
      </c>
      <c r="E55" s="6" t="inlineStr">
        <is>
          <t>Momentum(5.6) - Quality(5.6) - LowVol(2.5)</t>
        </is>
      </c>
    </row>
    <row r="56">
      <c r="A56" s="6" t="inlineStr">
        <is>
          <t>SAP</t>
        </is>
      </c>
      <c r="B56" s="6" t="inlineStr">
        <is>
          <t>SAP  SE</t>
        </is>
      </c>
      <c r="C56" s="6" t="n">
        <v>33.6</v>
      </c>
      <c r="D56" s="6" t="inlineStr">
        <is>
          <t>REDUCE</t>
        </is>
      </c>
      <c r="E56" s="6" t="inlineStr">
        <is>
          <t>Momentum(16.9) - Value(1.9)</t>
        </is>
      </c>
    </row>
    <row r="57">
      <c r="A57" s="6" t="inlineStr">
        <is>
          <t>SSNLF</t>
        </is>
      </c>
      <c r="B57" s="6" t="inlineStr">
        <is>
          <t>SAMSUNG ELECTRONICS CO</t>
        </is>
      </c>
      <c r="C57" s="6" t="n">
        <v>32.6</v>
      </c>
      <c r="D57" s="6" t="inlineStr">
        <is>
          <t>REDUCE</t>
        </is>
      </c>
      <c r="E57" s="6" t="inlineStr">
        <is>
          <t>Momentum(19.9) - LowVol(1.2) - Quality(0.1)</t>
        </is>
      </c>
    </row>
    <row r="58">
      <c r="A58" s="6" t="inlineStr">
        <is>
          <t>CRM</t>
        </is>
      </c>
      <c r="B58" s="6" t="inlineStr">
        <is>
          <t>Salesforce, Inc.</t>
        </is>
      </c>
      <c r="C58" s="6" t="n">
        <v>32.2</v>
      </c>
      <c r="D58" s="6" t="inlineStr">
        <is>
          <t>REDUCE</t>
        </is>
      </c>
      <c r="E58" s="6" t="inlineStr">
        <is>
          <t>Momentum(18.5) - LowVol(0.7)</t>
        </is>
      </c>
    </row>
    <row r="59">
      <c r="A59" s="6" t="inlineStr">
        <is>
          <t>ORCL</t>
        </is>
      </c>
      <c r="B59" s="6" t="inlineStr">
        <is>
          <t>Oracle Corporation</t>
        </is>
      </c>
      <c r="C59" s="6" t="n">
        <v>31.4</v>
      </c>
      <c r="D59" s="6" t="inlineStr">
        <is>
          <t>REDUCE</t>
        </is>
      </c>
      <c r="E59" s="6" t="inlineStr">
        <is>
          <t>Momentum(15.5) - Value(2.5) - LowVol(2.1)</t>
        </is>
      </c>
    </row>
    <row r="60">
      <c r="A60" s="6" t="inlineStr">
        <is>
          <t>NOW</t>
        </is>
      </c>
      <c r="B60" s="6" t="inlineStr">
        <is>
          <t>ServiceNow, Inc.</t>
        </is>
      </c>
      <c r="C60" s="6" t="n">
        <v>29.8</v>
      </c>
      <c r="D60" s="6" t="inlineStr">
        <is>
          <t>SELL</t>
        </is>
      </c>
      <c r="E60" s="6" t="inlineStr">
        <is>
          <t>Momentum(18.5) - Value(2.6) - LowVol(0.6)</t>
        </is>
      </c>
    </row>
    <row r="61">
      <c r="A61" s="6" t="inlineStr">
        <is>
          <t>XPEV</t>
        </is>
      </c>
      <c r="B61" s="6" t="inlineStr">
        <is>
          <t>XPeng Inc.</t>
        </is>
      </c>
      <c r="C61" s="6" t="n">
        <v>29.6</v>
      </c>
      <c r="D61" s="6" t="inlineStr">
        <is>
          <t>SELL</t>
        </is>
      </c>
      <c r="E61" s="6" t="inlineStr">
        <is>
          <t>Quality(4.7) - Momentum(4.2) - LowVol(1.6)</t>
        </is>
      </c>
    </row>
    <row r="62">
      <c r="A62" s="6" t="inlineStr">
        <is>
          <t>XYZ</t>
        </is>
      </c>
      <c r="B62" s="6" t="inlineStr">
        <is>
          <t>Block, Inc.</t>
        </is>
      </c>
      <c r="C62" s="6" t="n">
        <v>29.3</v>
      </c>
      <c r="D62" s="6" t="inlineStr">
        <is>
          <t>SELL</t>
        </is>
      </c>
      <c r="E62" s="6" t="inlineStr">
        <is>
          <t>Momentum(15.9) - LowVol(2.2) - Value(2.0)</t>
        </is>
      </c>
    </row>
    <row r="63">
      <c r="A63" s="6" t="inlineStr">
        <is>
          <t>NIO</t>
        </is>
      </c>
      <c r="B63" s="6" t="inlineStr">
        <is>
          <t>NIO Inc.</t>
        </is>
      </c>
      <c r="C63" s="6" t="n">
        <v>27.8</v>
      </c>
      <c r="D63" s="6" t="inlineStr">
        <is>
          <t>SELL</t>
        </is>
      </c>
      <c r="E63" s="6" t="inlineStr">
        <is>
          <t>Momentum(8.9) - Quality(5.0) - LowVol(1.4)</t>
        </is>
      </c>
    </row>
    <row r="64">
      <c r="A64" s="6" t="inlineStr">
        <is>
          <t>DDOG</t>
        </is>
      </c>
      <c r="B64" s="6" t="inlineStr">
        <is>
          <t>Datadog, Inc.</t>
        </is>
      </c>
      <c r="C64" s="6" t="n">
        <v>27.6</v>
      </c>
      <c r="D64" s="6" t="inlineStr">
        <is>
          <t>SELL</t>
        </is>
      </c>
      <c r="E64" s="6" t="inlineStr">
        <is>
          <t>Momentum(15.5) - Value(3.7) - Quality(1.7)</t>
        </is>
      </c>
    </row>
    <row r="65">
      <c r="A65" s="6" t="inlineStr">
        <is>
          <t>AI</t>
        </is>
      </c>
      <c r="B65" s="6" t="inlineStr">
        <is>
          <t>C3.ai, Inc.</t>
        </is>
      </c>
      <c r="C65" s="6" t="n">
        <v>27.3</v>
      </c>
      <c r="D65" s="6" t="inlineStr">
        <is>
          <t>SELL</t>
        </is>
      </c>
      <c r="E65" s="6" t="inlineStr">
        <is>
          <t>Momentum(18.1) - Quality(5.1) - LowVol(2.3)</t>
        </is>
      </c>
    </row>
    <row r="66">
      <c r="A66" s="6" t="inlineStr">
        <is>
          <t>JD</t>
        </is>
      </c>
      <c r="B66" s="6" t="inlineStr">
        <is>
          <t>JD.com, Inc.</t>
        </is>
      </c>
      <c r="C66" s="6" t="n">
        <v>25.3</v>
      </c>
      <c r="D66" s="6" t="inlineStr">
        <is>
          <t>SELL</t>
        </is>
      </c>
      <c r="E66" s="6" t="inlineStr">
        <is>
          <t>Momentum(15.0) - Quality(0.8)</t>
        </is>
      </c>
    </row>
    <row r="67">
      <c r="A67" s="6" t="inlineStr">
        <is>
          <t>LI</t>
        </is>
      </c>
      <c r="B67" s="6" t="inlineStr">
        <is>
          <t>Li Auto Inc.</t>
        </is>
      </c>
      <c r="C67" s="6" t="n">
        <v>23.2</v>
      </c>
      <c r="D67" s="6" t="inlineStr">
        <is>
          <t>SELL</t>
        </is>
      </c>
      <c r="E67" s="6" t="inlineStr">
        <is>
          <t>Momentum(14.8) - Quality(1.6) - Value(0.2)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8" customWidth="1" min="6" max="6"/>
    <col width="10" customWidth="1" min="7" max="7"/>
    <col width="8" customWidth="1" min="8" max="8"/>
    <col width="10" customWidth="1" min="9" max="9"/>
    <col width="12" customWidth="1" min="10" max="10"/>
    <col width="8" customWidth="1" min="11" max="11"/>
    <col width="12" customWidth="1" min="12" max="12"/>
    <col width="60" customWidth="1" min="13" max="13"/>
  </cols>
  <sheetData>
    <row r="1">
      <c r="A1" s="1" t="inlineStr">
        <is>
          <t>DESGLOSE DE SCORES - Como se calcula cada puntuacion</t>
        </is>
      </c>
    </row>
    <row r="2">
      <c r="A2" s="30" t="inlineStr">
        <is>
          <t>Pesos actuales: Value 10% | Quality 16% | Mom 42% | LowVol 5% | Congress 14% | Polymarket 13%</t>
        </is>
      </c>
    </row>
    <row r="3">
      <c r="A3" s="4" t="inlineStr">
        <is>
          <t>Ticker</t>
        </is>
      </c>
      <c r="B3" s="4" t="inlineStr">
        <is>
          <t>Precio</t>
        </is>
      </c>
      <c r="C3" s="4" t="inlineStr">
        <is>
          <t>Target</t>
        </is>
      </c>
      <c r="D3" s="4" t="inlineStr">
        <is>
          <t>Upside%</t>
        </is>
      </c>
      <c r="E3" s="4" t="inlineStr">
        <is>
          <t>Value</t>
        </is>
      </c>
      <c r="F3" s="4" t="inlineStr">
        <is>
          <t>Quality</t>
        </is>
      </c>
      <c r="G3" s="4" t="inlineStr">
        <is>
          <t>Momentum</t>
        </is>
      </c>
      <c r="H3" s="4" t="inlineStr">
        <is>
          <t>LowVol</t>
        </is>
      </c>
      <c r="I3" s="4" t="inlineStr">
        <is>
          <t>Congress</t>
        </is>
      </c>
      <c r="J3" s="4" t="inlineStr">
        <is>
          <t>Polymarket</t>
        </is>
      </c>
      <c r="K3" s="4" t="inlineStr">
        <is>
          <t>SCORE</t>
        </is>
      </c>
      <c r="L3" s="4" t="inlineStr">
        <is>
          <t>Senal</t>
        </is>
      </c>
      <c r="M3" s="4" t="inlineStr">
        <is>
          <t>Tesis de Inversion</t>
        </is>
      </c>
    </row>
    <row r="4">
      <c r="A4" s="5" t="inlineStr">
        <is>
          <t>AU</t>
        </is>
      </c>
      <c r="B4" s="6" t="n">
        <v>106.26</v>
      </c>
      <c r="C4" s="6" t="n">
        <v>101.29</v>
      </c>
      <c r="D4" s="31" t="n">
        <v>-4.7</v>
      </c>
      <c r="E4" s="15" t="n">
        <v>63</v>
      </c>
      <c r="F4" s="14" t="n">
        <v>81</v>
      </c>
      <c r="G4" s="14" t="n">
        <v>87</v>
      </c>
      <c r="H4" s="11" t="n">
        <v>41</v>
      </c>
      <c r="I4" s="11" t="n">
        <v>50</v>
      </c>
      <c r="J4" s="11" t="n">
        <v>50</v>
      </c>
      <c r="K4" s="32">
        <f>E4*0.105+F4*0.158+G4*0.421+H4*0.053+I4*0.137+J4*0.126</f>
        <v/>
      </c>
      <c r="L4" s="9" t="inlineStr">
        <is>
          <t>HOLD</t>
        </is>
      </c>
      <c r="M4" s="33" t="inlineStr">
        <is>
          <t>MANTENER AU | Score: 71/100 | Precio: $106.26 → Target: $101.29 (Upside: -5%) | FORTALEZAS: alta calidad (ROE 38.7%, margen 42.5%); fuerte momentum (retorno 12M: 295.4%) | ESTRATEGIA: Largo plazo (value-quality) - empresa dominante a buen precio</t>
        </is>
      </c>
    </row>
    <row r="5">
      <c r="A5" s="5" t="inlineStr">
        <is>
          <t>NEM</t>
        </is>
      </c>
      <c r="B5" s="6" t="n">
        <v>124.31</v>
      </c>
      <c r="C5" s="6" t="n">
        <v>119.89</v>
      </c>
      <c r="D5" s="31" t="n">
        <v>-3.6</v>
      </c>
      <c r="E5" s="14" t="n">
        <v>70</v>
      </c>
      <c r="F5" s="14" t="n">
        <v>74</v>
      </c>
      <c r="G5" s="14" t="n">
        <v>84</v>
      </c>
      <c r="H5" s="11" t="n">
        <v>54</v>
      </c>
      <c r="I5" s="11" t="n">
        <v>50</v>
      </c>
      <c r="J5" s="11" t="n">
        <v>50</v>
      </c>
      <c r="K5" s="32">
        <f>E5*0.105+F5*0.158+G5*0.421+H5*0.053+I5*0.137+J5*0.126</f>
        <v/>
      </c>
      <c r="L5" s="9" t="inlineStr">
        <is>
          <t>HOLD</t>
        </is>
      </c>
      <c r="M5" s="33" t="inlineStr">
        <is>
          <t>MANTENER NEM | Score: 71/100 | Precio: $124.31 → Target: $119.89 (Upside: -4%) | FORTALEZAS: valoración atractiva (P/E 15.0x, EV/EBITDA 11.1x); alta calidad (ROE 22.9%, margen 46.9%); fuerte momentum (retorno 12M: 200.7%) | ESTRATEGIA: Largo plazo (value-quality) - empresa dominante a buen precio</t>
        </is>
      </c>
    </row>
    <row r="6">
      <c r="A6" s="5" t="inlineStr">
        <is>
          <t>GILD</t>
        </is>
      </c>
      <c r="B6" s="6" t="n">
        <v>135.93</v>
      </c>
      <c r="C6" s="6" t="n">
        <v>134.53</v>
      </c>
      <c r="D6" s="31" t="n">
        <v>-1</v>
      </c>
      <c r="E6" s="15" t="n">
        <v>66</v>
      </c>
      <c r="F6" s="14" t="n">
        <v>72</v>
      </c>
      <c r="G6" s="14" t="n">
        <v>83</v>
      </c>
      <c r="H6" s="14" t="n">
        <v>74</v>
      </c>
      <c r="I6" s="11" t="n">
        <v>50</v>
      </c>
      <c r="J6" s="11" t="n">
        <v>50</v>
      </c>
      <c r="K6" s="32">
        <f>E6*0.105+F6*0.158+G6*0.421+H6*0.053+I6*0.137+J6*0.126</f>
        <v/>
      </c>
      <c r="L6" s="9" t="inlineStr">
        <is>
          <t>HOLD</t>
        </is>
      </c>
      <c r="M6" s="33" t="inlineStr">
        <is>
          <t>MANTENER GILD | Score: 70/100 | Precio: $135.93 → Target: $134.53 (Upside: -1%) | FORTALEZAS: valoración atractiva (P/E 15.5x, EV/EBITDA 13.1x); alta calidad (ROE 40.7%, margen 45.2%); fuerte momentum (retorno 12M: 50.1%); baja volatilidad (beta 0.35, vol 29.0%) | ESTRATEGIA: Largo plazo (value-quality) - empresa dominante a buen precio</t>
        </is>
      </c>
    </row>
    <row r="7">
      <c r="A7" s="5" t="inlineStr">
        <is>
          <t>GFI</t>
        </is>
      </c>
      <c r="B7" s="6" t="n">
        <v>53.22</v>
      </c>
      <c r="C7" s="6" t="n">
        <v>52.16</v>
      </c>
      <c r="D7" s="31" t="n">
        <v>-2</v>
      </c>
      <c r="E7" s="15" t="n">
        <v>64</v>
      </c>
      <c r="F7" s="14" t="n">
        <v>77</v>
      </c>
      <c r="G7" s="14" t="n">
        <v>85</v>
      </c>
      <c r="H7" s="9" t="n">
        <v>39</v>
      </c>
      <c r="I7" s="11" t="n">
        <v>50</v>
      </c>
      <c r="J7" s="11" t="n">
        <v>50</v>
      </c>
      <c r="K7" s="32">
        <f>E7*0.105+F7*0.158+G7*0.421+H7*0.053+I7*0.137+J7*0.126</f>
        <v/>
      </c>
      <c r="L7" s="9" t="inlineStr">
        <is>
          <t>HOLD</t>
        </is>
      </c>
      <c r="M7" s="33" t="inlineStr">
        <is>
          <t>MANTENER GFI | Score: 70/100 | Precio: $53.22 → Target: $52.16 (Upside: -2%) | FORTALEZAS: alta calidad (ROE 35.2%, margen 46.4%); fuerte momentum (retorno 12M: 223.4%) | ESTRATEGIA: Largo plazo (value-quality) - empresa dominante a buen precio</t>
        </is>
      </c>
    </row>
    <row r="8">
      <c r="A8" s="5" t="inlineStr">
        <is>
          <t>AEM</t>
        </is>
      </c>
      <c r="B8" s="6" t="n">
        <v>214.54</v>
      </c>
      <c r="C8" s="6" t="n">
        <v>209.55</v>
      </c>
      <c r="D8" s="31" t="n">
        <v>-2.3</v>
      </c>
      <c r="E8" s="11" t="n">
        <v>55</v>
      </c>
      <c r="F8" s="14" t="n">
        <v>72</v>
      </c>
      <c r="G8" s="14" t="n">
        <v>83</v>
      </c>
      <c r="H8" s="11" t="n">
        <v>52</v>
      </c>
      <c r="I8" s="11" t="n">
        <v>50</v>
      </c>
      <c r="J8" s="11" t="n">
        <v>50</v>
      </c>
      <c r="K8" s="32">
        <f>E8*0.105+F8*0.158+G8*0.421+H8*0.053+I8*0.137+J8*0.126</f>
        <v/>
      </c>
      <c r="L8" s="9" t="inlineStr">
        <is>
          <t>HOLD</t>
        </is>
      </c>
      <c r="M8" s="33" t="inlineStr">
        <is>
          <t>MANTENER AEM | Score: 68/100 | Precio: $214.54 → Target: $209.55 (Upside: -2%) | FORTALEZAS: alta calidad (ROE 15.7%, margen 53.1%); fuerte momentum (retorno 12M: 141.6%)</t>
        </is>
      </c>
    </row>
    <row r="9">
      <c r="A9" s="5" t="inlineStr">
        <is>
          <t>GSK</t>
        </is>
      </c>
      <c r="B9" s="6" t="n">
        <v>49.15</v>
      </c>
      <c r="C9" s="6" t="n">
        <v>51.98</v>
      </c>
      <c r="D9" s="6" t="n">
        <v>5.8</v>
      </c>
      <c r="E9" s="11" t="n">
        <v>59</v>
      </c>
      <c r="F9" s="15" t="n">
        <v>65</v>
      </c>
      <c r="G9" s="14" t="n">
        <v>81</v>
      </c>
      <c r="H9" s="14" t="n">
        <v>78</v>
      </c>
      <c r="I9" s="11" t="n">
        <v>50</v>
      </c>
      <c r="J9" s="11" t="n">
        <v>50</v>
      </c>
      <c r="K9" s="32">
        <f>E9*0.105+F9*0.158+G9*0.421+H9*0.053+I9*0.137+J9*0.126</f>
        <v/>
      </c>
      <c r="L9" s="14" t="inlineStr">
        <is>
          <t>BUY</t>
        </is>
      </c>
      <c r="M9" s="34" t="inlineStr">
        <is>
          <t>COMPRA GSK | Score: 68/100 | Precio: $49.15 → Target: $51.98 (Upside: +6%) | FORTALEZAS: alta calidad (ROE 41.5%, margen 32.6%); fuerte momentum (retorno 12M: 49.6%); baja volatilidad (beta 0.25, vol 28.3%) | ESTRATEGIA: Corto plazo (trading) - momentum fuerte + catalizador | GESTIÓN RIESGO: Stop $45.22 (-8%), Target 1 $56.52 (+15%)</t>
        </is>
      </c>
    </row>
    <row r="10">
      <c r="A10" s="5" t="inlineStr">
        <is>
          <t>NOVN.SW</t>
        </is>
      </c>
      <c r="B10" s="6" t="n">
        <v>115.64</v>
      </c>
      <c r="C10" s="6" t="n">
        <v>109.83</v>
      </c>
      <c r="D10" s="31" t="n">
        <v>-5</v>
      </c>
      <c r="E10" s="14" t="n">
        <v>70</v>
      </c>
      <c r="F10" s="15" t="n">
        <v>66</v>
      </c>
      <c r="G10" s="14" t="n">
        <v>76</v>
      </c>
      <c r="H10" s="14" t="n">
        <v>83</v>
      </c>
      <c r="I10" s="11" t="n">
        <v>50</v>
      </c>
      <c r="J10" s="11" t="n">
        <v>50</v>
      </c>
      <c r="K10" s="32">
        <f>E10*0.105+F10*0.158+G10*0.421+H10*0.053+I10*0.137+J10*0.126</f>
        <v/>
      </c>
      <c r="L10" s="9" t="inlineStr">
        <is>
          <t>HOLD</t>
        </is>
      </c>
      <c r="M10" s="33" t="inlineStr">
        <is>
          <t>MANTENER NOVN.SW | Score: 67/100 | Precio: $115.64 → Target: $109.83 (Upside: -5%) | FORTALEZAS: valoración atractiva (P/E 16.2x, EV/EBITDA 9.8x); alta calidad (ROE 32.6%, margen 31.9%); fuerte momentum (retorno 12M: 32.7%); baja volatilidad (beta 0.45, vol 20.7%)</t>
        </is>
      </c>
    </row>
    <row r="11">
      <c r="A11" s="5" t="inlineStr">
        <is>
          <t>ROG.SW</t>
        </is>
      </c>
      <c r="B11" s="6" t="n">
        <v>348.1</v>
      </c>
      <c r="C11" s="6" t="n">
        <v>342.27</v>
      </c>
      <c r="D11" s="31" t="n">
        <v>-1.7</v>
      </c>
      <c r="E11" s="15" t="n">
        <v>64</v>
      </c>
      <c r="F11" s="15" t="n">
        <v>68</v>
      </c>
      <c r="G11" s="14" t="n">
        <v>74</v>
      </c>
      <c r="H11" s="14" t="n">
        <v>89</v>
      </c>
      <c r="I11" s="11" t="n">
        <v>50</v>
      </c>
      <c r="J11" s="11" t="n">
        <v>50</v>
      </c>
      <c r="K11" s="32">
        <f>E11*0.105+F11*0.158+G11*0.421+H11*0.053+I11*0.137+J11*0.126</f>
        <v/>
      </c>
      <c r="L11" s="9" t="inlineStr">
        <is>
          <t>HOLD</t>
        </is>
      </c>
      <c r="M11" s="33" t="inlineStr">
        <is>
          <t>MANTENER ROG.SW | Score: 67/100 | Precio: $348.10 → Target: $342.27 (Upside: -2%) | FORTALEZAS: alta calidad (ROE 31.3%, margen 36.1%); fuerte momentum (retorno 12M: 31.1%); baja volatilidad (beta 0.17, vol 24.5%)</t>
        </is>
      </c>
    </row>
    <row r="12">
      <c r="A12" s="5" t="inlineStr">
        <is>
          <t>ABBV</t>
        </is>
      </c>
      <c r="B12" s="6" t="n">
        <v>219.26</v>
      </c>
      <c r="C12" s="6" t="n">
        <v>245.22</v>
      </c>
      <c r="D12" s="24" t="n">
        <v>11.8</v>
      </c>
      <c r="E12" s="15" t="n">
        <v>65</v>
      </c>
      <c r="F12" s="15" t="n">
        <v>68</v>
      </c>
      <c r="G12" s="14" t="n">
        <v>74</v>
      </c>
      <c r="H12" s="14" t="n">
        <v>80</v>
      </c>
      <c r="I12" s="11" t="n">
        <v>50</v>
      </c>
      <c r="J12" s="11" t="n">
        <v>50</v>
      </c>
      <c r="K12" s="32">
        <f>E12*0.105+F12*0.158+G12*0.421+H12*0.053+I12*0.137+J12*0.126</f>
        <v/>
      </c>
      <c r="L12" s="14" t="inlineStr">
        <is>
          <t>STRONG BUY</t>
        </is>
      </c>
      <c r="M12" s="34" t="inlineStr">
        <is>
          <t>COMPRA FUERTE ABBV | Score: 66/100 | Precio: $219.26 → Target: $245.22 (Upside: +12%) | FORTALEZAS: alta calidad (ROE 138.0%, margen 35.5%); fuerte momentum (retorno 12M: 33.1%); baja volatilidad (beta 0.35, vol 26.7%) | ESTRATEGIA: Corto plazo (trading) - momentum fuerte + catalizador | GESTIÓN RIESGO: Stop $201.72 (-8%), Target 1 $252.15 (+15%)</t>
        </is>
      </c>
    </row>
    <row r="13">
      <c r="A13" s="5" t="inlineStr">
        <is>
          <t>JNJ</t>
        </is>
      </c>
      <c r="B13" s="6" t="n">
        <v>220.14</v>
      </c>
      <c r="C13" s="6" t="n">
        <v>224.09</v>
      </c>
      <c r="D13" s="6" t="n">
        <v>1.8</v>
      </c>
      <c r="E13" s="11" t="n">
        <v>52</v>
      </c>
      <c r="F13" s="15" t="n">
        <v>63</v>
      </c>
      <c r="G13" s="14" t="n">
        <v>77</v>
      </c>
      <c r="H13" s="14" t="n">
        <v>89</v>
      </c>
      <c r="I13" s="11" t="n">
        <v>50</v>
      </c>
      <c r="J13" s="11" t="n">
        <v>50</v>
      </c>
      <c r="K13" s="32">
        <f>E13*0.105+F13*0.158+G13*0.421+H13*0.053+I13*0.137+J13*0.126</f>
        <v/>
      </c>
      <c r="L13" s="14" t="inlineStr">
        <is>
          <t>BUY</t>
        </is>
      </c>
      <c r="M13" s="34" t="inlineStr">
        <is>
          <t>COMPRA JNJ | Score: 66/100 | Precio: $220.14 → Target: $224.09 (Upside: +2%) | FORTALEZAS: fuerte momentum (retorno 12M: 54.5%); baja volatilidad (beta 0.33, vol 19.5%) | ESTRATEGIA: Corto plazo (trading) - momentum fuerte + catalizador | GESTIÓN RIESGO: Stop $202.53 (-8%), Target 1 $253.16 (+15%)</t>
        </is>
      </c>
    </row>
    <row r="14">
      <c r="A14" s="5" t="inlineStr">
        <is>
          <t>SCCO</t>
        </is>
      </c>
      <c r="B14" s="6" t="n">
        <v>184.3</v>
      </c>
      <c r="C14" s="6" t="n">
        <v>138.45</v>
      </c>
      <c r="D14" s="31" t="n">
        <v>-24.9</v>
      </c>
      <c r="E14" s="9" t="n">
        <v>32</v>
      </c>
      <c r="F14" s="14" t="n">
        <v>80</v>
      </c>
      <c r="G14" s="14" t="n">
        <v>82</v>
      </c>
      <c r="H14" s="9" t="n">
        <v>37</v>
      </c>
      <c r="I14" s="11" t="n">
        <v>50</v>
      </c>
      <c r="J14" s="11" t="n">
        <v>50</v>
      </c>
      <c r="K14" s="32">
        <f>E14*0.105+F14*0.158+G14*0.421+H14*0.053+I14*0.137+J14*0.126</f>
        <v/>
      </c>
      <c r="L14" s="9" t="inlineStr">
        <is>
          <t>HOLD</t>
        </is>
      </c>
      <c r="M14" s="33" t="inlineStr">
        <is>
          <t>MANTENER SCCO | Score: 66/100 | Precio: $184.30 → Target: $138.45 (Upside: -25%) | FORTALEZAS: alta calidad (ROE 39.3%, margen 52.4%); fuerte momentum (retorno 12M: 102.1%) | DEBILIDADES: valoración cara (P/E 30.2x, EV/EBITDA 21.8x)</t>
        </is>
      </c>
    </row>
    <row r="15">
      <c r="A15" s="5" t="inlineStr">
        <is>
          <t>VALE</t>
        </is>
      </c>
      <c r="B15" s="6" t="n">
        <v>16.18</v>
      </c>
      <c r="C15" s="6" t="n">
        <v>14.7</v>
      </c>
      <c r="D15" s="31" t="n">
        <v>-9.1</v>
      </c>
      <c r="E15" s="15" t="n">
        <v>64</v>
      </c>
      <c r="F15" s="11" t="n">
        <v>51</v>
      </c>
      <c r="G15" s="14" t="n">
        <v>81</v>
      </c>
      <c r="H15" s="11" t="n">
        <v>59</v>
      </c>
      <c r="I15" s="11" t="n">
        <v>50</v>
      </c>
      <c r="J15" s="11" t="n">
        <v>50</v>
      </c>
      <c r="K15" s="32">
        <f>E15*0.105+F15*0.158+G15*0.421+H15*0.053+I15*0.137+J15*0.126</f>
        <v/>
      </c>
      <c r="L15" s="9" t="inlineStr">
        <is>
          <t>HOLD</t>
        </is>
      </c>
      <c r="M15" s="33" t="inlineStr">
        <is>
          <t>MANTENER VALE | Score: 65/100 | Precio: $16.18 → Target: $14.70 (Upside: -9%) | FORTALEZAS: fuerte momentum (retorno 12M: 93.6%)</t>
        </is>
      </c>
    </row>
    <row r="16">
      <c r="A16" s="5" t="inlineStr">
        <is>
          <t>AZN</t>
        </is>
      </c>
      <c r="B16" s="6" t="n">
        <v>92.95</v>
      </c>
      <c r="C16" s="6" t="n">
        <v>99.05</v>
      </c>
      <c r="D16" s="6" t="n">
        <v>6.6</v>
      </c>
      <c r="E16" s="15" t="n">
        <v>63</v>
      </c>
      <c r="F16" s="11" t="n">
        <v>52</v>
      </c>
      <c r="G16" s="14" t="n">
        <v>76</v>
      </c>
      <c r="H16" s="14" t="n">
        <v>86</v>
      </c>
      <c r="I16" s="11" t="n">
        <v>50</v>
      </c>
      <c r="J16" s="11" t="n">
        <v>50</v>
      </c>
      <c r="K16" s="32">
        <f>E16*0.105+F16*0.158+G16*0.421+H16*0.053+I16*0.137+J16*0.126</f>
        <v/>
      </c>
      <c r="L16" s="14" t="inlineStr">
        <is>
          <t>BUY</t>
        </is>
      </c>
      <c r="M16" s="34" t="inlineStr">
        <is>
          <t>COMPRA AZN | Score: 65/100 | Precio: $92.95 → Target: $99.05 (Upside: +7%) | FORTALEZAS: fuerte momentum (retorno 12M: 37.5%); baja volatilidad (beta 0.19, vol 26.2%) | ESTRATEGIA: Corto plazo (trading) - momentum fuerte + catalizador | GESTIÓN RIESGO: Stop $85.51 (-8%), Target 1 $106.89 (+15%)</t>
        </is>
      </c>
    </row>
    <row r="17">
      <c r="A17" s="5" t="inlineStr">
        <is>
          <t>WPM</t>
        </is>
      </c>
      <c r="B17" s="6" t="n">
        <v>146.16</v>
      </c>
      <c r="C17" s="6" t="n">
        <v>153.22</v>
      </c>
      <c r="D17" s="6" t="n">
        <v>4.8</v>
      </c>
      <c r="E17" s="17" t="n">
        <v>15</v>
      </c>
      <c r="F17" s="14" t="n">
        <v>73</v>
      </c>
      <c r="G17" s="14" t="n">
        <v>84</v>
      </c>
      <c r="H17" s="11" t="n">
        <v>47</v>
      </c>
      <c r="I17" s="11" t="n">
        <v>50</v>
      </c>
      <c r="J17" s="11" t="n">
        <v>50</v>
      </c>
      <c r="K17" s="32">
        <f>E17*0.105+F17*0.158+G17*0.421+H17*0.053+I17*0.137+J17*0.126</f>
        <v/>
      </c>
      <c r="L17" s="14" t="inlineStr">
        <is>
          <t>BUY</t>
        </is>
      </c>
      <c r="M17" s="34" t="inlineStr">
        <is>
          <t>COMPRA WPM | Score: 64/100 | Precio: $146.16 → Target: $153.22 (Upside: +5%) | FORTALEZAS: alta calidad (ROE 13.0%, margen 66.5%); fuerte momentum (retorno 12M: 144.6%) | DEBILIDADES: valoración cara (P/E 38.0x, EV/EBITDA 44.6x) | ESTRATEGIA: Corto plazo (trading) - momentum fuerte + catalizador | GESTIÓN RIESGO: Stop $134.47 (-8%), Target 1 $168.08 (+15%)</t>
        </is>
      </c>
    </row>
    <row r="18">
      <c r="A18" s="5" t="inlineStr">
        <is>
          <t>RIO</t>
        </is>
      </c>
      <c r="B18" s="6" t="n">
        <v>90.43000000000001</v>
      </c>
      <c r="C18" s="6" t="n">
        <v>87.12</v>
      </c>
      <c r="D18" s="31" t="n">
        <v>-3.7</v>
      </c>
      <c r="E18" s="15" t="n">
        <v>64</v>
      </c>
      <c r="F18" s="11" t="n">
        <v>54</v>
      </c>
      <c r="G18" s="14" t="n">
        <v>76</v>
      </c>
      <c r="H18" s="14" t="n">
        <v>75</v>
      </c>
      <c r="I18" s="11" t="n">
        <v>50</v>
      </c>
      <c r="J18" s="11" t="n">
        <v>50</v>
      </c>
      <c r="K18" s="32">
        <f>E18*0.105+F18*0.158+G18*0.421+H18*0.053+I18*0.137+J18*0.126</f>
        <v/>
      </c>
      <c r="L18" s="9" t="inlineStr">
        <is>
          <t>HOLD</t>
        </is>
      </c>
      <c r="M18" s="33" t="inlineStr">
        <is>
          <t>MANTENER RIO | Score: 64/100 | Precio: $90.43 → Target: $87.12 (Upside: -4%) | FORTALEZAS: fuerte momentum (retorno 12M: 54.6%); baja volatilidad (beta 0.58, vol 25.2%)</t>
        </is>
      </c>
    </row>
    <row r="19">
      <c r="A19" s="5" t="inlineStr">
        <is>
          <t>MRK</t>
        </is>
      </c>
      <c r="B19" s="6" t="n">
        <v>108.18</v>
      </c>
      <c r="C19" s="6" t="n">
        <v>115.33</v>
      </c>
      <c r="D19" s="6" t="n">
        <v>6.6</v>
      </c>
      <c r="E19" s="15" t="n">
        <v>67</v>
      </c>
      <c r="F19" s="14" t="n">
        <v>75</v>
      </c>
      <c r="G19" s="15" t="n">
        <v>66</v>
      </c>
      <c r="H19" s="14" t="n">
        <v>74</v>
      </c>
      <c r="I19" s="11" t="n">
        <v>50</v>
      </c>
      <c r="J19" s="11" t="n">
        <v>50</v>
      </c>
      <c r="K19" s="32">
        <f>E19*0.105+F19*0.158+G19*0.421+H19*0.053+I19*0.137+J19*0.126</f>
        <v/>
      </c>
      <c r="L19" s="14" t="inlineStr">
        <is>
          <t>BUY</t>
        </is>
      </c>
      <c r="M19" s="34" t="inlineStr">
        <is>
          <t>COMPRA MRK | Score: 64/100 | Precio: $108.18 → Target: $115.33 (Upside: +7%) | FORTALEZAS: valoración atractiva (P/E 17.5x, EV/EBITDA 9.3x); alta calidad (ROE 39.5%, margen 40.8%); fuerte momentum (retorno 12M: 17.5%); baja volatilidad (beta 0.30, vol 30.4%) | ESTRATEGIA: Corto plazo (trading) - momentum fuerte + catalizador | GESTIÓN RIESGO: Stop $99.53 (-8%), Target 1 $124.41 (+15%)</t>
        </is>
      </c>
    </row>
    <row r="20">
      <c r="A20" s="5" t="inlineStr">
        <is>
          <t>RNMBY</t>
        </is>
      </c>
      <c r="B20" s="6" t="n">
        <v>433.47</v>
      </c>
      <c r="C20" s="6" t="n"/>
      <c r="D20" s="6" t="n">
        <v>0</v>
      </c>
      <c r="E20" s="9" t="n">
        <v>30</v>
      </c>
      <c r="F20" s="11" t="n">
        <v>46</v>
      </c>
      <c r="G20" s="14" t="n">
        <v>77</v>
      </c>
      <c r="H20" s="11" t="n">
        <v>46</v>
      </c>
      <c r="I20" s="11" t="n">
        <v>50</v>
      </c>
      <c r="J20" s="11" t="n">
        <v>50</v>
      </c>
      <c r="K20" s="32">
        <f>E20*0.105+F20*0.158+G20*0.421+H20*0.053+I20*0.137+J20*0.126</f>
        <v/>
      </c>
      <c r="L20" s="14" t="inlineStr">
        <is>
          <t>BUY</t>
        </is>
      </c>
      <c r="M20" s="34" t="inlineStr">
        <is>
          <t>COMPRA RNMBY | Score: 63/100 | FORTALEZAS: fuerte momentum (retorno 12M: 184.1%) | DEBILIDADES: valoración cara (P/E 45.5x, EV/EBITDA 11.5x) | ESTRATEGIA: Corto plazo (trading) - momentum fuerte + catalizador | GESTIÓN RIESGO: Stop $398.79 (-8%), Target 1 $498.49 (+15%)</t>
        </is>
      </c>
    </row>
    <row r="21">
      <c r="A21" s="5" t="inlineStr">
        <is>
          <t>WBD</t>
        </is>
      </c>
      <c r="B21" s="6" t="n">
        <v>28.58</v>
      </c>
      <c r="C21" s="6" t="n">
        <v>27.78</v>
      </c>
      <c r="D21" s="31" t="n">
        <v>-2.8</v>
      </c>
      <c r="E21" s="14" t="n">
        <v>82</v>
      </c>
      <c r="F21" s="17" t="n">
        <v>16</v>
      </c>
      <c r="G21" s="14" t="n">
        <v>91</v>
      </c>
      <c r="H21" s="17" t="n">
        <v>12</v>
      </c>
      <c r="I21" s="11" t="n">
        <v>50</v>
      </c>
      <c r="J21" s="11" t="n">
        <v>50</v>
      </c>
      <c r="K21" s="32">
        <f>E21*0.105+F21*0.158+G21*0.421+H21*0.053+I21*0.137+J21*0.126</f>
        <v/>
      </c>
      <c r="L21" s="9" t="inlineStr">
        <is>
          <t>HOLD</t>
        </is>
      </c>
      <c r="M21" s="33" t="inlineStr">
        <is>
          <t>MANTENER WBD | Score: 63/100 | Precio: $28.58 → Target: $27.78 (Upside: -3%) | FORTALEZAS: valoración atractiva (P/E -146.8x, EV/EBITDA 13.1x); fuerte momentum (retorno 12M: 178.8%) | DEBILIDADES: baja calidad operativa (ROE bajo, márgenes débiles); alta volatilidad (beta 1.57, vol 60.9%)</t>
        </is>
      </c>
    </row>
    <row r="22">
      <c r="A22" s="5" t="inlineStr">
        <is>
          <t>FNV</t>
        </is>
      </c>
      <c r="B22" s="6" t="n">
        <v>255.75</v>
      </c>
      <c r="C22" s="6" t="n">
        <v>250</v>
      </c>
      <c r="D22" s="31" t="n">
        <v>-2.2</v>
      </c>
      <c r="E22" s="17" t="n">
        <v>14</v>
      </c>
      <c r="F22" s="14" t="n">
        <v>72</v>
      </c>
      <c r="G22" s="14" t="n">
        <v>80</v>
      </c>
      <c r="H22" s="15" t="n">
        <v>60</v>
      </c>
      <c r="I22" s="11" t="n">
        <v>50</v>
      </c>
      <c r="J22" s="11" t="n">
        <v>50</v>
      </c>
      <c r="K22" s="32">
        <f>E22*0.105+F22*0.158+G22*0.421+H22*0.053+I22*0.137+J22*0.126</f>
        <v/>
      </c>
      <c r="L22" s="9" t="inlineStr">
        <is>
          <t>HOLD</t>
        </is>
      </c>
      <c r="M22" s="33" t="inlineStr">
        <is>
          <t>MANTENER FNV | Score: 63/100 | Precio: $255.75 → Target: $250.00 (Upside: -2%) | FORTALEZAS: alta calidad (ROE 14.2%, margen 70.0%); fuerte momentum (retorno 12M: 97.7%) | DEBILIDADES: valoración cara (P/E 33.8x, EV/EBITDA 35.3x)</t>
        </is>
      </c>
    </row>
    <row r="23">
      <c r="A23" s="5" t="inlineStr">
        <is>
          <t>BHP</t>
        </is>
      </c>
      <c r="B23" s="6" t="n">
        <v>67.52</v>
      </c>
      <c r="C23" s="6" t="n">
        <v>57</v>
      </c>
      <c r="D23" s="31" t="n">
        <v>-15.6</v>
      </c>
      <c r="E23" s="15" t="n">
        <v>64</v>
      </c>
      <c r="F23" s="15" t="n">
        <v>66</v>
      </c>
      <c r="G23" s="15" t="n">
        <v>69</v>
      </c>
      <c r="H23" s="15" t="n">
        <v>64</v>
      </c>
      <c r="I23" s="11" t="n">
        <v>50</v>
      </c>
      <c r="J23" s="11" t="n">
        <v>50</v>
      </c>
      <c r="K23" s="32">
        <f>E23*0.105+F23*0.158+G23*0.421+H23*0.053+I23*0.137+J23*0.126</f>
        <v/>
      </c>
      <c r="L23" s="9" t="inlineStr">
        <is>
          <t>HOLD</t>
        </is>
      </c>
      <c r="M23" s="33" t="inlineStr">
        <is>
          <t>MANTENER BHP | Score: 63/100 | Precio: $67.52 → Target: $57.00 (Upside: -16%) | FORTALEZAS: alta calidad (ROE 22.0%, margen 37.7%); fuerte momentum (retorno 12M: 38.1%)</t>
        </is>
      </c>
    </row>
    <row r="24">
      <c r="A24" s="5" t="inlineStr">
        <is>
          <t>SAN</t>
        </is>
      </c>
      <c r="B24" s="6" t="n">
        <v>12.4</v>
      </c>
      <c r="C24" s="6" t="n">
        <v>10.73</v>
      </c>
      <c r="D24" s="31" t="n">
        <v>-13.5</v>
      </c>
      <c r="E24" s="11" t="n">
        <v>60</v>
      </c>
      <c r="F24" s="14" t="n">
        <v>73</v>
      </c>
      <c r="G24" s="15" t="n">
        <v>69</v>
      </c>
      <c r="H24" s="11" t="n">
        <v>48</v>
      </c>
      <c r="I24" s="11" t="n">
        <v>50</v>
      </c>
      <c r="J24" s="11" t="n">
        <v>50</v>
      </c>
      <c r="K24" s="32">
        <f>E24*0.105+F24*0.158+G24*0.421+H24*0.053+I24*0.137+J24*0.126</f>
        <v/>
      </c>
      <c r="L24" s="9" t="inlineStr">
        <is>
          <t>HOLD</t>
        </is>
      </c>
      <c r="M24" s="33" t="inlineStr">
        <is>
          <t>MANTENER SAN | Score: 63/100 | Precio: $12.40 → Target: $10.73 (Upside: -13%) | FORTALEZAS: alta calidad (ROE 13.7%, margen 39.3%); fuerte momentum (retorno 12M: 148.3%) | ESTRATEGIA: Largo plazo (value-quality) - empresa dominante a buen precio</t>
        </is>
      </c>
    </row>
    <row r="25">
      <c r="A25" s="5" t="inlineStr">
        <is>
          <t>EC</t>
        </is>
      </c>
      <c r="B25" s="6" t="n">
        <v>12.5</v>
      </c>
      <c r="C25" s="6" t="n">
        <v>9.93</v>
      </c>
      <c r="D25" s="31" t="n">
        <v>-20.6</v>
      </c>
      <c r="E25" s="14" t="n">
        <v>79</v>
      </c>
      <c r="F25" s="11" t="n">
        <v>48</v>
      </c>
      <c r="G25" s="14" t="n">
        <v>71</v>
      </c>
      <c r="H25" s="15" t="n">
        <v>69</v>
      </c>
      <c r="I25" s="11" t="n">
        <v>50</v>
      </c>
      <c r="J25" s="11" t="n">
        <v>50</v>
      </c>
      <c r="K25" s="32">
        <f>E25*0.105+F25*0.158+G25*0.421+H25*0.053+I25*0.137+J25*0.126</f>
        <v/>
      </c>
      <c r="L25" s="9" t="inlineStr">
        <is>
          <t>HOLD</t>
        </is>
      </c>
      <c r="M25" s="33" t="inlineStr">
        <is>
          <t>MANTENER EC | Score: 63/100 | Precio: $12.50 → Target: $9.93 (Upside: -21%) | FORTALEZAS: valoración atractiva (P/E 9.8x); fuerte momentum (retorno 12M: 64.3%); baja volatilidad (beta 0.13, vol 37.2%)</t>
        </is>
      </c>
    </row>
    <row r="26">
      <c r="A26" s="5" t="inlineStr">
        <is>
          <t>BIIB</t>
        </is>
      </c>
      <c r="B26" s="6" t="n">
        <v>171.59</v>
      </c>
      <c r="C26" s="6" t="n">
        <v>192.14</v>
      </c>
      <c r="D26" s="24" t="n">
        <v>12</v>
      </c>
      <c r="E26" s="14" t="n">
        <v>77</v>
      </c>
      <c r="F26" s="11" t="n">
        <v>48</v>
      </c>
      <c r="G26" s="15" t="n">
        <v>69</v>
      </c>
      <c r="H26" s="14" t="n">
        <v>73</v>
      </c>
      <c r="I26" s="11" t="n">
        <v>50</v>
      </c>
      <c r="J26" s="11" t="n">
        <v>50</v>
      </c>
      <c r="K26" s="32">
        <f>E26*0.105+F26*0.158+G26*0.421+H26*0.053+I26*0.137+J26*0.126</f>
        <v/>
      </c>
      <c r="L26" s="14" t="inlineStr">
        <is>
          <t>STRONG BUY</t>
        </is>
      </c>
      <c r="M26" s="34" t="inlineStr">
        <is>
          <t>COMPRA FUERTE BIIB | Score: 62/100 | Precio: $171.59 → Target: $192.14 (Upside: +12%) | FORTALEZAS: valoración atractiva (P/E 11.3x, EV/EBITDA 8.2x); fuerte momentum (retorno 12M: 17.4%); baja volatilidad (beta 0.13, vol 33.3%) | ESTRATEGIA: Corto plazo (trading) - momentum fuerte + catalizador | GESTIÓN RIESGO: Stop $157.86 (-8%), Target 1 $197.33 (+15%)</t>
        </is>
      </c>
    </row>
    <row r="27">
      <c r="A27" s="5" t="inlineStr">
        <is>
          <t>LLY</t>
        </is>
      </c>
      <c r="B27" s="6" t="n">
        <v>1064.29</v>
      </c>
      <c r="C27" s="6" t="n">
        <v>1110.71</v>
      </c>
      <c r="D27" s="6" t="n">
        <v>4.4</v>
      </c>
      <c r="E27" s="17" t="n">
        <v>18</v>
      </c>
      <c r="F27" s="14" t="n">
        <v>76</v>
      </c>
      <c r="G27" s="14" t="n">
        <v>75</v>
      </c>
      <c r="H27" s="11" t="n">
        <v>59</v>
      </c>
      <c r="I27" s="11" t="n">
        <v>50</v>
      </c>
      <c r="J27" s="11" t="n">
        <v>50</v>
      </c>
      <c r="K27" s="32">
        <f>E27*0.105+F27*0.158+G27*0.421+H27*0.053+I27*0.137+J27*0.126</f>
        <v/>
      </c>
      <c r="L27" s="14" t="inlineStr">
        <is>
          <t>BUY</t>
        </is>
      </c>
      <c r="M27" s="34" t="inlineStr">
        <is>
          <t>COMPRA LLY | Score: 62/100 | Precio: $1064.29 → Target: $1110.71 (Upside: +4%) | FORTALEZAS: alta calidad (ROE 96.5%, margen 48.3%); fuerte momentum (retorno 12M: 36.5%) | DEBILIDADES: valoración cara (P/E 32.5x, EV/EBITDA 34.3x) | ESTRATEGIA: Corto plazo (trading) - momentum fuerte + catalizador | GESTIÓN RIESGO: Stop $979.15 (-8%), Target 1 $1223.93 (+15%)</t>
        </is>
      </c>
    </row>
    <row r="28">
      <c r="A28" s="5" t="inlineStr">
        <is>
          <t>REGN</t>
        </is>
      </c>
      <c r="B28" s="6" t="n">
        <v>753.55</v>
      </c>
      <c r="C28" s="6" t="n">
        <v>830.04</v>
      </c>
      <c r="D28" s="24" t="n">
        <v>10.2</v>
      </c>
      <c r="E28" s="15" t="n">
        <v>60</v>
      </c>
      <c r="F28" s="15" t="n">
        <v>66</v>
      </c>
      <c r="G28" s="15" t="n">
        <v>67</v>
      </c>
      <c r="H28" s="11" t="n">
        <v>56</v>
      </c>
      <c r="I28" s="11" t="n">
        <v>50</v>
      </c>
      <c r="J28" s="11" t="n">
        <v>50</v>
      </c>
      <c r="K28" s="32">
        <f>E28*0.105+F28*0.158+G28*0.421+H28*0.053+I28*0.137+J28*0.126</f>
        <v/>
      </c>
      <c r="L28" s="14" t="inlineStr">
        <is>
          <t>STRONG BUY</t>
        </is>
      </c>
      <c r="M28" s="34" t="inlineStr">
        <is>
          <t>COMPRA FUERTE REGN | Score: 61/100 | Precio: $753.55 → Target: $830.04 (Upside: +10%) | FORTALEZAS: alta calidad (ROE 15.2%, margen 29.6%); fuerte momentum (retorno 12M: 12.1%) | ESTRATEGIA: Corto plazo (trading) - momentum fuerte + catalizador | GESTIÓN RIESGO: Stop $693.27 (-8%), Target 1 $866.58 (+15%)</t>
        </is>
      </c>
    </row>
    <row r="29">
      <c r="A29" s="5" t="inlineStr">
        <is>
          <t>LAC</t>
        </is>
      </c>
      <c r="B29" s="6" t="n">
        <v>6.44</v>
      </c>
      <c r="C29" s="6" t="n">
        <v>6.39</v>
      </c>
      <c r="D29" s="31" t="n">
        <v>-0.8</v>
      </c>
      <c r="E29" s="15" t="n">
        <v>67</v>
      </c>
      <c r="F29" s="9" t="n">
        <v>34</v>
      </c>
      <c r="G29" s="14" t="n">
        <v>84</v>
      </c>
      <c r="H29" s="17" t="n">
        <v>1</v>
      </c>
      <c r="I29" s="11" t="n">
        <v>50</v>
      </c>
      <c r="J29" s="11" t="n">
        <v>50</v>
      </c>
      <c r="K29" s="32">
        <f>E29*0.105+F29*0.158+G29*0.421+H29*0.053+I29*0.137+J29*0.126</f>
        <v/>
      </c>
      <c r="L29" s="9" t="inlineStr">
        <is>
          <t>HOLD</t>
        </is>
      </c>
      <c r="M29" s="33" t="inlineStr">
        <is>
          <t>MANTENER LAC | Score: 61/100 | Precio: $6.44 → Target: $6.39 (Upside: -1%) | FORTALEZAS: valoración atractiva (P/E -17.2x, EV/EBITDA -70.5x); fuerte momentum (retorno 12M: 104.4%) | DEBILIDADES: baja calidad operativa (ROE bajo, márgenes débiles); alta volatilidad (beta 3.52, vol 129.0%)</t>
        </is>
      </c>
    </row>
    <row r="30">
      <c r="A30" s="5" t="inlineStr">
        <is>
          <t>HSBC</t>
        </is>
      </c>
      <c r="B30" s="6" t="n">
        <v>83.94</v>
      </c>
      <c r="C30" s="6" t="n">
        <v>85.44</v>
      </c>
      <c r="D30" s="6" t="n">
        <v>1.8</v>
      </c>
      <c r="E30" s="15" t="n">
        <v>61</v>
      </c>
      <c r="F30" s="15" t="n">
        <v>69</v>
      </c>
      <c r="G30" s="15" t="n">
        <v>61</v>
      </c>
      <c r="H30" s="14" t="n">
        <v>78</v>
      </c>
      <c r="I30" s="11" t="n">
        <v>50</v>
      </c>
      <c r="J30" s="11" t="n">
        <v>50</v>
      </c>
      <c r="K30" s="32">
        <f>E30*0.105+F30*0.158+G30*0.421+H30*0.053+I30*0.137+J30*0.126</f>
        <v/>
      </c>
      <c r="L30" s="14" t="inlineStr">
        <is>
          <t>BUY</t>
        </is>
      </c>
      <c r="M30" s="34" t="inlineStr">
        <is>
          <t>COMPRA HSBC | Score: 60/100 | Precio: $83.94 → Target: $85.44 (Upside: +2%) | FORTALEZAS: alta calidad (ROE 9.3%, margen 40.0%); baja volatilidad (beta 0.43, vol 25.1%) | ESTRATEGIA: Medio plazo (swing) - calidad + valoración | GESTIÓN RIESGO: Stop $77.22 (-8%), Target 1 $96.53 (+15%)</t>
        </is>
      </c>
    </row>
    <row r="31">
      <c r="A31" s="5" t="inlineStr">
        <is>
          <t>ITUB</t>
        </is>
      </c>
      <c r="B31" s="6" t="n">
        <v>8.289999999999999</v>
      </c>
      <c r="C31" s="6" t="n">
        <v>7.65</v>
      </c>
      <c r="D31" s="31" t="n">
        <v>-7.7</v>
      </c>
      <c r="E31" s="15" t="n">
        <v>62</v>
      </c>
      <c r="F31" s="11" t="n">
        <v>48</v>
      </c>
      <c r="G31" s="15" t="n">
        <v>68</v>
      </c>
      <c r="H31" s="14" t="n">
        <v>85</v>
      </c>
      <c r="I31" s="11" t="n">
        <v>50</v>
      </c>
      <c r="J31" s="11" t="n">
        <v>50</v>
      </c>
      <c r="K31" s="32">
        <f>E31*0.105+F31*0.158+G31*0.421+H31*0.053+I31*0.137+J31*0.126</f>
        <v/>
      </c>
      <c r="L31" s="9" t="inlineStr">
        <is>
          <t>HOLD</t>
        </is>
      </c>
      <c r="M31" s="33" t="inlineStr">
        <is>
          <t>MANTENER ITUB | Score: 60/100 | Precio: $8.29 → Target: $7.65 (Upside: -8%) | FORTALEZAS: fuerte momentum (retorno 12M: 94.9%); baja volatilidad (beta 0.07, vol 27.6%)</t>
        </is>
      </c>
    </row>
    <row r="32">
      <c r="A32" s="5" t="inlineStr">
        <is>
          <t>SQM</t>
        </is>
      </c>
      <c r="B32" s="6" t="n">
        <v>85.43000000000001</v>
      </c>
      <c r="C32" s="6" t="n">
        <v>74</v>
      </c>
      <c r="D32" s="31" t="n">
        <v>-13.4</v>
      </c>
      <c r="E32" s="9" t="n">
        <v>32</v>
      </c>
      <c r="F32" s="9" t="n">
        <v>39</v>
      </c>
      <c r="G32" s="14" t="n">
        <v>85</v>
      </c>
      <c r="H32" s="9" t="n">
        <v>32</v>
      </c>
      <c r="I32" s="11" t="n">
        <v>50</v>
      </c>
      <c r="J32" s="11" t="n">
        <v>50</v>
      </c>
      <c r="K32" s="32">
        <f>E32*0.105+F32*0.158+G32*0.421+H32*0.053+I32*0.137+J32*0.126</f>
        <v/>
      </c>
      <c r="L32" s="9" t="inlineStr">
        <is>
          <t>HOLD</t>
        </is>
      </c>
      <c r="M32" s="33" t="inlineStr">
        <is>
          <t>MANTENER SQM | Score: 60/100 | Precio: $85.43 → Target: $74.00 (Upside: -13%) | FORTALEZAS: fuerte momentum (retorno 12M: 117.9%) | DEBILIDADES: valoración cara (P/E 21.7x, EV/EBITDA 20.7x); alta volatilidad (beta 1.01, vol 48.7%)</t>
        </is>
      </c>
    </row>
    <row r="33">
      <c r="A33" s="5" t="inlineStr">
        <is>
          <t>BA.L</t>
        </is>
      </c>
      <c r="B33" s="6" t="n">
        <v>2027</v>
      </c>
      <c r="C33" s="6" t="n">
        <v>2135.11</v>
      </c>
      <c r="D33" s="6" t="n">
        <v>5.3</v>
      </c>
      <c r="E33" s="11" t="n">
        <v>41</v>
      </c>
      <c r="F33" s="9" t="n">
        <v>36</v>
      </c>
      <c r="G33" s="15" t="n">
        <v>67</v>
      </c>
      <c r="H33" s="14" t="n">
        <v>74</v>
      </c>
      <c r="I33" s="11" t="n">
        <v>50</v>
      </c>
      <c r="J33" s="11" t="n">
        <v>50</v>
      </c>
      <c r="K33" s="32">
        <f>E33*0.105+F33*0.158+G33*0.421+H33*0.053+I33*0.137+J33*0.126</f>
        <v/>
      </c>
      <c r="L33" s="14" t="inlineStr">
        <is>
          <t>BUY</t>
        </is>
      </c>
      <c r="M33" s="34" t="inlineStr">
        <is>
          <t>COMPRA BA.L | Score: 60/100 | Precio: $2027.00 → Target: $2135.11 (Upside: +5%) | FORTALEZAS: fuerte momentum (retorno 12M: 61.1%); baja volatilidad (beta -0.05, vol 33.9%) | ESTRATEGIA: Corto plazo (trading) - momentum fuerte + catalizador | GESTIÓN RIESGO: Stop $1864.84 (-8%), Target 1 $2331.05 (+15%)</t>
        </is>
      </c>
    </row>
    <row r="34">
      <c r="A34" s="5" t="inlineStr">
        <is>
          <t>XOM</t>
        </is>
      </c>
      <c r="B34" s="6" t="n">
        <v>134.97</v>
      </c>
      <c r="C34" s="6" t="n">
        <v>132.48</v>
      </c>
      <c r="D34" s="31" t="n">
        <v>-1.8</v>
      </c>
      <c r="E34" s="11" t="n">
        <v>57</v>
      </c>
      <c r="F34" s="9" t="n">
        <v>39</v>
      </c>
      <c r="G34" s="11" t="n">
        <v>56</v>
      </c>
      <c r="H34" s="14" t="n">
        <v>83</v>
      </c>
      <c r="I34" s="14" t="n">
        <v>100</v>
      </c>
      <c r="J34" s="11" t="n">
        <v>50</v>
      </c>
      <c r="K34" s="32">
        <f>E34*0.105+F34*0.158+G34*0.421+H34*0.053+I34*0.137+J34*0.126</f>
        <v/>
      </c>
      <c r="L34" s="9" t="inlineStr">
        <is>
          <t>HOLD</t>
        </is>
      </c>
      <c r="M34" s="33" t="inlineStr">
        <is>
          <t>MANTENER XOM | Score: 60/100 | Precio: $134.97 → Target: $132.48 (Upside: -2%) | FORTALEZAS: baja volatilidad (beta 0.36, vol 24.2%); congresistas comprando recientemente</t>
        </is>
      </c>
    </row>
    <row r="35">
      <c r="A35" s="5" t="inlineStr">
        <is>
          <t>DB</t>
        </is>
      </c>
      <c r="B35" s="6" t="n">
        <v>39.08</v>
      </c>
      <c r="C35" s="6" t="n">
        <v>42.9</v>
      </c>
      <c r="D35" s="6" t="n">
        <v>9.800000000000001</v>
      </c>
      <c r="E35" s="15" t="n">
        <v>63</v>
      </c>
      <c r="F35" s="15" t="n">
        <v>63</v>
      </c>
      <c r="G35" s="15" t="n">
        <v>66</v>
      </c>
      <c r="H35" s="11" t="n">
        <v>40</v>
      </c>
      <c r="I35" s="11" t="n">
        <v>50</v>
      </c>
      <c r="J35" s="11" t="n">
        <v>50</v>
      </c>
      <c r="K35" s="35">
        <f>E35*0.105+F35*0.158+G35*0.421+H35*0.053+I35*0.137+J35*0.126</f>
        <v/>
      </c>
      <c r="L35" s="11" t="inlineStr">
        <is>
          <t>ACCUMULATE</t>
        </is>
      </c>
      <c r="M35" s="33" t="inlineStr">
        <is>
          <t>ACUMULAR DB | Score: 60/100 | Precio: $39.08 → Target: $42.90 (Upside: +10%) | FORTALEZAS: fuerte momentum (retorno 12M: 100.8%) | ESTRATEGIA: Ir acumulando gradualmente en debilidad</t>
        </is>
      </c>
    </row>
    <row r="36">
      <c r="A36" s="5" t="inlineStr">
        <is>
          <t>SPG</t>
        </is>
      </c>
      <c r="B36" s="6" t="n">
        <v>184.73</v>
      </c>
      <c r="C36" s="6" t="n">
        <v>197.15</v>
      </c>
      <c r="D36" s="6" t="n">
        <v>6.7</v>
      </c>
      <c r="E36" s="11" t="n">
        <v>41</v>
      </c>
      <c r="F36" s="15" t="n">
        <v>67</v>
      </c>
      <c r="G36" s="15" t="n">
        <v>68</v>
      </c>
      <c r="H36" s="11" t="n">
        <v>50</v>
      </c>
      <c r="I36" s="11" t="n">
        <v>50</v>
      </c>
      <c r="J36" s="11" t="n">
        <v>50</v>
      </c>
      <c r="K36" s="35">
        <f>E36*0.105+F36*0.158+G36*0.421+H36*0.053+I36*0.137+J36*0.126</f>
        <v/>
      </c>
      <c r="L36" s="11" t="inlineStr">
        <is>
          <t>ACCUMULATE</t>
        </is>
      </c>
      <c r="M36" s="33" t="inlineStr">
        <is>
          <t>ACUMULAR SPG | Score: 59/100 | Precio: $184.73 → Target: $197.15 (Upside: +7%) | FORTALEZAS: alta calidad (ROE 82.5%, margen 50.8%); fuerte momentum (retorno 12M: 11.4%) | ESTRATEGIA: Ir acumulando gradualmente en debilidad</t>
        </is>
      </c>
    </row>
    <row r="37">
      <c r="A37" s="5" t="inlineStr">
        <is>
          <t>VRTX</t>
        </is>
      </c>
      <c r="B37" s="6" t="n">
        <v>468.41</v>
      </c>
      <c r="C37" s="6" t="n">
        <v>506.24</v>
      </c>
      <c r="D37" s="6" t="n">
        <v>8.1</v>
      </c>
      <c r="E37" s="9" t="n">
        <v>36</v>
      </c>
      <c r="F37" s="14" t="n">
        <v>76</v>
      </c>
      <c r="G37" s="15" t="n">
        <v>63</v>
      </c>
      <c r="H37" s="15" t="n">
        <v>66</v>
      </c>
      <c r="I37" s="11" t="n">
        <v>50</v>
      </c>
      <c r="J37" s="11" t="n">
        <v>50</v>
      </c>
      <c r="K37" s="35">
        <f>E37*0.105+F37*0.158+G37*0.421+H37*0.053+I37*0.137+J37*0.126</f>
        <v/>
      </c>
      <c r="L37" s="11" t="inlineStr">
        <is>
          <t>ACCUMULATE</t>
        </is>
      </c>
      <c r="M37" s="33" t="inlineStr">
        <is>
          <t>ACUMULAR VRTX | Score: 59/100 | Precio: $468.41 → Target: $506.24 (Upside: +8%) | FORTALEZAS: alta calidad (ROE 22.3%, margen 40.3%); baja volatilidad (beta 0.31, vol 34.0%) | ESTRATEGIA: Ir acumulando gradualmente en debilidad</t>
        </is>
      </c>
    </row>
    <row r="38">
      <c r="A38" s="5" t="inlineStr">
        <is>
          <t>VALE</t>
        </is>
      </c>
      <c r="B38" s="6" t="n">
        <v>16.18</v>
      </c>
      <c r="C38" s="6" t="n">
        <v>14.7</v>
      </c>
      <c r="D38" s="31" t="n">
        <v>-9.1</v>
      </c>
      <c r="E38" s="15" t="n">
        <v>64</v>
      </c>
      <c r="F38" s="11" t="n">
        <v>50</v>
      </c>
      <c r="G38" s="15" t="n">
        <v>67</v>
      </c>
      <c r="H38" s="11" t="n">
        <v>58</v>
      </c>
      <c r="I38" s="11" t="n">
        <v>50</v>
      </c>
      <c r="J38" s="11" t="n">
        <v>50</v>
      </c>
      <c r="K38" s="35">
        <f>E38*0.105+F38*0.158+G38*0.421+H38*0.053+I38*0.137+J38*0.126</f>
        <v/>
      </c>
      <c r="L38" s="9" t="inlineStr">
        <is>
          <t>HOLD</t>
        </is>
      </c>
      <c r="M38" s="33" t="inlineStr">
        <is>
          <t>MANTENER VALE | Score: 59/100 | Precio: $16.18 → Target: $14.70 (Upside: -9%) | FORTALEZAS: fuerte momentum (retorno 12M: 93.6%)</t>
        </is>
      </c>
    </row>
    <row r="39">
      <c r="A39" s="5" t="inlineStr">
        <is>
          <t>BBVA</t>
        </is>
      </c>
      <c r="B39" s="6" t="n">
        <v>24.97</v>
      </c>
      <c r="C39" s="6" t="n">
        <v>24.28</v>
      </c>
      <c r="D39" s="31" t="n">
        <v>-2.8</v>
      </c>
      <c r="E39" s="11" t="n">
        <v>59</v>
      </c>
      <c r="F39" s="11" t="n">
        <v>52</v>
      </c>
      <c r="G39" s="15" t="n">
        <v>68</v>
      </c>
      <c r="H39" s="11" t="n">
        <v>48</v>
      </c>
      <c r="I39" s="11" t="n">
        <v>50</v>
      </c>
      <c r="J39" s="11" t="n">
        <v>50</v>
      </c>
      <c r="K39" s="35">
        <f>E39*0.105+F39*0.158+G39*0.421+H39*0.053+I39*0.137+J39*0.126</f>
        <v/>
      </c>
      <c r="L39" s="9" t="inlineStr">
        <is>
          <t>HOLD</t>
        </is>
      </c>
      <c r="M39" s="33" t="inlineStr">
        <is>
          <t>MANTENER BBVA | Score: 59/100 | Precio: $24.97 → Target: $24.28 (Upside: -3%) | FORTALEZAS: fuerte momentum (retorno 12M: 131.7%)</t>
        </is>
      </c>
    </row>
    <row r="40">
      <c r="A40" s="5" t="inlineStr">
        <is>
          <t>NU</t>
        </is>
      </c>
      <c r="B40" s="6" t="n">
        <v>18.04</v>
      </c>
      <c r="C40" s="6" t="n">
        <v>19.82</v>
      </c>
      <c r="D40" s="6" t="n">
        <v>9.9</v>
      </c>
      <c r="E40" s="11" t="n">
        <v>50</v>
      </c>
      <c r="F40" s="14" t="n">
        <v>89</v>
      </c>
      <c r="G40" s="11" t="n">
        <v>59</v>
      </c>
      <c r="H40" s="9" t="n">
        <v>32</v>
      </c>
      <c r="I40" s="11" t="n">
        <v>50</v>
      </c>
      <c r="J40" s="11" t="n">
        <v>50</v>
      </c>
      <c r="K40" s="35">
        <f>E40*0.105+F40*0.158+G40*0.421+H40*0.053+I40*0.137+J40*0.126</f>
        <v/>
      </c>
      <c r="L40" s="11" t="inlineStr">
        <is>
          <t>ACCUMULATE</t>
        </is>
      </c>
      <c r="M40" s="33" t="inlineStr">
        <is>
          <t>ACUMULAR NU | Score: 59/100 | Precio: $18.04 → Target: $19.82 (Upside: +10%) | FORTALEZAS: alta calidad (ROE 27.8%, margen 58.2%) | DEBILIDADES: alta volatilidad (beta 1.08, vol 44.5%) | ESTRATEGIA: Ir acumulando gradualmente en debilidad</t>
        </is>
      </c>
    </row>
    <row r="41">
      <c r="A41" s="5" t="inlineStr">
        <is>
          <t>AMX</t>
        </is>
      </c>
      <c r="B41" s="6" t="n">
        <v>20.76</v>
      </c>
      <c r="C41" s="6" t="n">
        <v>23.4</v>
      </c>
      <c r="D41" s="24" t="n">
        <v>12.7</v>
      </c>
      <c r="E41" s="14" t="n">
        <v>83</v>
      </c>
      <c r="F41" s="11" t="n">
        <v>43</v>
      </c>
      <c r="G41" s="15" t="n">
        <v>61</v>
      </c>
      <c r="H41" s="14" t="n">
        <v>86</v>
      </c>
      <c r="I41" s="11" t="n">
        <v>50</v>
      </c>
      <c r="J41" s="11" t="n">
        <v>50</v>
      </c>
      <c r="K41" s="35">
        <f>E41*0.105+F41*0.158+G41*0.421+H41*0.053+I41*0.137+J41*0.126</f>
        <v/>
      </c>
      <c r="L41" s="11" t="inlineStr">
        <is>
          <t>ACCUMULATE</t>
        </is>
      </c>
      <c r="M41" s="33" t="inlineStr">
        <is>
          <t>ACUMULAR AMX | Score: 59/100 | Precio: $20.76 → Target: $23.40 (Upside: +13%) | FORTALEZAS: valoración atractiva (P/E 12.3x, EV/EBITDA 6.2x); baja volatilidad (beta 0.30, vol 24.2%) | ESTRATEGIA: Ir acumulando gradualmente en debilidad</t>
        </is>
      </c>
    </row>
    <row r="42">
      <c r="A42" s="5" t="inlineStr">
        <is>
          <t>FCX</t>
        </is>
      </c>
      <c r="B42" s="6" t="n">
        <v>60.41</v>
      </c>
      <c r="C42" s="6" t="n">
        <v>59.22</v>
      </c>
      <c r="D42" s="31" t="n">
        <v>-2</v>
      </c>
      <c r="E42" s="11" t="n">
        <v>51</v>
      </c>
      <c r="F42" s="11" t="n">
        <v>44</v>
      </c>
      <c r="G42" s="14" t="n">
        <v>76</v>
      </c>
      <c r="H42" s="17" t="n">
        <v>18</v>
      </c>
      <c r="I42" s="11" t="n">
        <v>50</v>
      </c>
      <c r="J42" s="11" t="n">
        <v>50</v>
      </c>
      <c r="K42" s="35">
        <f>E42*0.105+F42*0.158+G42*0.421+H42*0.053+I42*0.137+J42*0.126</f>
        <v/>
      </c>
      <c r="L42" s="9" t="inlineStr">
        <is>
          <t>HOLD</t>
        </is>
      </c>
      <c r="M42" s="33" t="inlineStr">
        <is>
          <t>MANTENER FCX | Score: 59/100 | Precio: $60.41 → Target: $59.22 (Upside: -2%) | FORTALEZAS: fuerte momentum (retorno 12M: 62.0%) | DEBILIDADES: alta volatilidad (beta 1.45, vol 49.4%)</t>
        </is>
      </c>
    </row>
    <row r="43">
      <c r="A43" s="5" t="inlineStr">
        <is>
          <t>BMY</t>
        </is>
      </c>
      <c r="B43" s="6" t="n">
        <v>54.65</v>
      </c>
      <c r="C43" s="6" t="n">
        <v>56.96</v>
      </c>
      <c r="D43" s="6" t="n">
        <v>4.2</v>
      </c>
      <c r="E43" s="14" t="n">
        <v>82</v>
      </c>
      <c r="F43" s="15" t="n">
        <v>61</v>
      </c>
      <c r="G43" s="11" t="n">
        <v>55</v>
      </c>
      <c r="H43" s="14" t="n">
        <v>76</v>
      </c>
      <c r="I43" s="11" t="n">
        <v>50</v>
      </c>
      <c r="J43" s="11" t="n">
        <v>50</v>
      </c>
      <c r="K43" s="35">
        <f>E43*0.105+F43*0.158+G43*0.421+H43*0.053+I43*0.137+J43*0.126</f>
        <v/>
      </c>
      <c r="L43" s="11" t="inlineStr">
        <is>
          <t>ACCUMULATE</t>
        </is>
      </c>
      <c r="M43" s="33" t="inlineStr">
        <is>
          <t>ACUMULAR BMY | Score: 58/100 | Precio: $54.65 → Target: $56.96 (Upside: +4%) | FORTALEZAS: valoración atractiva (P/E 9.1x, EV/EBITDA 7.6x); baja volatilidad (beta 0.29, vol 29.2%) | ESTRATEGIA: Ir acumulando gradualmente en debilidad</t>
        </is>
      </c>
    </row>
    <row r="44">
      <c r="A44" s="5" t="inlineStr">
        <is>
          <t>BSBR</t>
        </is>
      </c>
      <c r="B44" s="6" t="n">
        <v>6.77</v>
      </c>
      <c r="C44" s="6" t="n">
        <v>6.32</v>
      </c>
      <c r="D44" s="31" t="n">
        <v>-6.6</v>
      </c>
      <c r="E44" s="15" t="n">
        <v>64</v>
      </c>
      <c r="F44" s="11" t="n">
        <v>43</v>
      </c>
      <c r="G44" s="15" t="n">
        <v>66</v>
      </c>
      <c r="H44" s="14" t="n">
        <v>73</v>
      </c>
      <c r="I44" s="11" t="n">
        <v>50</v>
      </c>
      <c r="J44" s="11" t="n">
        <v>50</v>
      </c>
      <c r="K44" s="35">
        <f>E44*0.105+F44*0.158+G44*0.421+H44*0.053+I44*0.137+J44*0.126</f>
        <v/>
      </c>
      <c r="L44" s="9" t="inlineStr">
        <is>
          <t>HOLD</t>
        </is>
      </c>
      <c r="M44" s="33" t="inlineStr">
        <is>
          <t>MANTENER BSBR | Score: 58/100 | Precio: $6.77 → Target: $6.32 (Upside: -7%) | FORTALEZAS: fuerte momentum (retorno 12M: 64.8%); baja volatilidad (beta 0.24, vol 31.4%)</t>
        </is>
      </c>
    </row>
    <row r="45">
      <c r="A45" s="5" t="inlineStr">
        <is>
          <t>KO</t>
        </is>
      </c>
      <c r="B45" s="6" t="n">
        <v>72.88</v>
      </c>
      <c r="C45" s="6" t="n">
        <v>79.23</v>
      </c>
      <c r="D45" s="6" t="n">
        <v>8.699999999999999</v>
      </c>
      <c r="E45" s="9" t="n">
        <v>31</v>
      </c>
      <c r="F45" s="15" t="n">
        <v>64</v>
      </c>
      <c r="G45" s="15" t="n">
        <v>64</v>
      </c>
      <c r="H45" s="14" t="n">
        <v>87</v>
      </c>
      <c r="I45" s="11" t="n">
        <v>50</v>
      </c>
      <c r="J45" s="11" t="n">
        <v>50</v>
      </c>
      <c r="K45" s="35">
        <f>E45*0.105+F45*0.158+G45*0.421+H45*0.053+I45*0.137+J45*0.126</f>
        <v/>
      </c>
      <c r="L45" s="11" t="inlineStr">
        <is>
          <t>ACCUMULATE</t>
        </is>
      </c>
      <c r="M45" s="33" t="inlineStr">
        <is>
          <t>ACUMULAR KO | Score: 58/100 | Precio: $72.88 → Target: $79.23 (Upside: +9%) | FORTALEZAS: baja volatilidad (beta 0.39, vol 17.9%) | DEBILIDADES: valoración cara (P/E 22.6x, EV/EBITDA 21.3x) | ESTRATEGIA: Ir acumulando gradualmente en debilidad</t>
        </is>
      </c>
    </row>
    <row r="46">
      <c r="A46" s="5" t="inlineStr">
        <is>
          <t>PFE</t>
        </is>
      </c>
      <c r="B46" s="6" t="n">
        <v>25.65</v>
      </c>
      <c r="C46" s="6" t="n">
        <v>28.66</v>
      </c>
      <c r="D46" s="24" t="n">
        <v>11.7</v>
      </c>
      <c r="E46" s="14" t="n">
        <v>80</v>
      </c>
      <c r="F46" s="11" t="n">
        <v>46</v>
      </c>
      <c r="G46" s="11" t="n">
        <v>59</v>
      </c>
      <c r="H46" s="14" t="n">
        <v>76</v>
      </c>
      <c r="I46" s="11" t="n">
        <v>50</v>
      </c>
      <c r="J46" s="11" t="n">
        <v>50</v>
      </c>
      <c r="K46" s="35">
        <f>E46*0.105+F46*0.158+G46*0.421+H46*0.053+I46*0.137+J46*0.126</f>
        <v/>
      </c>
      <c r="L46" s="11" t="inlineStr">
        <is>
          <t>ACCUMULATE</t>
        </is>
      </c>
      <c r="M46" s="33" t="inlineStr">
        <is>
          <t>ACUMULAR PFE | Score: 58/100 | Precio: $25.65 → Target: $28.66 (Upside: +12%) | FORTALEZAS: valoración atractiva (P/E 8.6x, EV/EBITDA 7.9x); baja volatilidad (beta 0.43, vol 26.0%) | ESTRATEGIA: Ir acumulando gradualmente en debilidad</t>
        </is>
      </c>
    </row>
    <row r="47">
      <c r="A47" s="5" t="inlineStr">
        <is>
          <t>O</t>
        </is>
      </c>
      <c r="B47" s="6" t="n">
        <v>60.74</v>
      </c>
      <c r="C47" s="6" t="n">
        <v>63.77</v>
      </c>
      <c r="D47" s="6" t="n">
        <v>5</v>
      </c>
      <c r="E47" s="11" t="n">
        <v>42</v>
      </c>
      <c r="F47" s="9" t="n">
        <v>36</v>
      </c>
      <c r="G47" s="14" t="n">
        <v>72</v>
      </c>
      <c r="H47" s="14" t="n">
        <v>78</v>
      </c>
      <c r="I47" s="11" t="n">
        <v>50</v>
      </c>
      <c r="J47" s="11" t="n">
        <v>50</v>
      </c>
      <c r="K47" s="35">
        <f>E47*0.105+F47*0.158+G47*0.421+H47*0.053+I47*0.137+J47*0.126</f>
        <v/>
      </c>
      <c r="L47" s="11" t="inlineStr">
        <is>
          <t>ACCUMULATE</t>
        </is>
      </c>
      <c r="M47" s="33" t="inlineStr">
        <is>
          <t>ACUMULAR O | Score: 58/100 | Precio: $60.74 → Target: $63.77 (Upside: +5%) | FORTALEZAS: fuerte momentum (retorno 12M: 18.3%); baja volatilidad (beta 0.81, vol 17.3%) | ESTRATEGIA: Ir acumulando gradualmente en debilidad</t>
        </is>
      </c>
    </row>
    <row r="48">
      <c r="A48" s="5" t="inlineStr">
        <is>
          <t>FSLR</t>
        </is>
      </c>
      <c r="B48" s="6" t="n">
        <v>242.15</v>
      </c>
      <c r="C48" s="6" t="n">
        <v>279.41</v>
      </c>
      <c r="D48" s="24" t="n">
        <v>15.4</v>
      </c>
      <c r="E48" s="11" t="n">
        <v>55</v>
      </c>
      <c r="F48" s="15" t="n">
        <v>65</v>
      </c>
      <c r="G48" s="15" t="n">
        <v>66</v>
      </c>
      <c r="H48" s="17" t="n">
        <v>9</v>
      </c>
      <c r="I48" s="11" t="n">
        <v>50</v>
      </c>
      <c r="J48" s="11" t="n">
        <v>50</v>
      </c>
      <c r="K48" s="35">
        <f>E48*0.105+F48*0.158+G48*0.421+H48*0.053+I48*0.137+J48*0.126</f>
        <v/>
      </c>
      <c r="L48" s="11" t="inlineStr">
        <is>
          <t>ACCUMULATE</t>
        </is>
      </c>
      <c r="M48" s="33" t="inlineStr">
        <is>
          <t>ACUMULAR FSLR | Score: 57/100 | Precio: $242.15 → Target: $279.41 (Upside: +15%) | FORTALEZAS: fuerte momentum (retorno 12M: 43.9%) | DEBILIDADES: alta volatilidad (beta 1.60, vol 62.5%) | ESTRATEGIA: Ir acumulando gradualmente en debilidad</t>
        </is>
      </c>
    </row>
    <row r="49">
      <c r="A49" s="5" t="inlineStr">
        <is>
          <t>VWS.CO</t>
        </is>
      </c>
      <c r="B49" s="6" t="n">
        <v>179.35</v>
      </c>
      <c r="C49" s="6" t="n">
        <v>171.62</v>
      </c>
      <c r="D49" s="31" t="n">
        <v>-4.3</v>
      </c>
      <c r="E49" s="17" t="n">
        <v>25</v>
      </c>
      <c r="F49" s="11" t="n">
        <v>56</v>
      </c>
      <c r="G49" s="14" t="n">
        <v>75</v>
      </c>
      <c r="H49" s="17" t="n">
        <v>20</v>
      </c>
      <c r="I49" s="11" t="n">
        <v>50</v>
      </c>
      <c r="J49" s="11" t="n">
        <v>50</v>
      </c>
      <c r="K49" s="35">
        <f>E49*0.105+F49*0.158+G49*0.421+H49*0.053+I49*0.137+J49*0.126</f>
        <v/>
      </c>
      <c r="L49" s="9" t="inlineStr">
        <is>
          <t>HOLD</t>
        </is>
      </c>
      <c r="M49" s="33" t="inlineStr">
        <is>
          <t>MANTENER VWS.CO | Score: 57/100 | Precio: $179.35 → Target: $171.62 (Upside: -4%) | FORTALEZAS: fuerte momentum (retorno 12M: 89.7%) | DEBILIDADES: valoración cara (P/E 22.0x, EV/EBITDA 101.9x); alta volatilidad (beta 1.35, vol 51.3%)</t>
        </is>
      </c>
    </row>
    <row r="50">
      <c r="A50" s="5" t="inlineStr">
        <is>
          <t>KOF</t>
        </is>
      </c>
      <c r="B50" s="6" t="n">
        <v>106.53</v>
      </c>
      <c r="C50" s="6" t="n">
        <v>103.76</v>
      </c>
      <c r="D50" s="31" t="n">
        <v>-2.6</v>
      </c>
      <c r="E50" s="14" t="n">
        <v>76</v>
      </c>
      <c r="F50" s="11" t="n">
        <v>43</v>
      </c>
      <c r="G50" s="11" t="n">
        <v>59</v>
      </c>
      <c r="H50" s="14" t="n">
        <v>77</v>
      </c>
      <c r="I50" s="11" t="n">
        <v>50</v>
      </c>
      <c r="J50" s="11" t="n">
        <v>50</v>
      </c>
      <c r="K50" s="35">
        <f>E50*0.105+F50*0.158+G50*0.421+H50*0.053+I50*0.137+J50*0.126</f>
        <v/>
      </c>
      <c r="L50" s="9" t="inlineStr">
        <is>
          <t>HOLD</t>
        </is>
      </c>
      <c r="M50" s="33" t="inlineStr">
        <is>
          <t>MANTENER KOF | Score: 57/100 | Precio: $106.53 → Target: $103.76 (Upside: -3%) | FORTALEZAS: valoración atractiva (P/E 15.3x, EV/EBITDA 5.7x); baja volatilidad (beta 0.51, vol 25.1%)</t>
        </is>
      </c>
    </row>
    <row r="51">
      <c r="A51" s="5" t="inlineStr">
        <is>
          <t>PBR</t>
        </is>
      </c>
      <c r="B51" s="6" t="n">
        <v>14.28</v>
      </c>
      <c r="C51" s="6" t="n">
        <v>14.79</v>
      </c>
      <c r="D51" s="6" t="n">
        <v>3.6</v>
      </c>
      <c r="E51" s="14" t="n">
        <v>91</v>
      </c>
      <c r="F51" s="11" t="n">
        <v>56</v>
      </c>
      <c r="G51" s="11" t="n">
        <v>50</v>
      </c>
      <c r="H51" s="14" t="n">
        <v>79</v>
      </c>
      <c r="I51" s="11" t="n">
        <v>50</v>
      </c>
      <c r="J51" s="11" t="n">
        <v>50</v>
      </c>
      <c r="K51" s="35">
        <f>E51*0.105+F51*0.158+G51*0.421+H51*0.053+I51*0.137+J51*0.126</f>
        <v/>
      </c>
      <c r="L51" s="11" t="inlineStr">
        <is>
          <t>ACCUMULATE</t>
        </is>
      </c>
      <c r="M51" s="33" t="inlineStr">
        <is>
          <t>ACUMULAR PBR | Score: 57/100 | Precio: $14.28 → Target: $14.79 (Upside: +4%) | FORTALEZAS: valoración atractiva (P/E 5.6x, EV/EBITDA 2.6x); baja volatilidad (beta -0.03, vol 31.4%) | ESTRATEGIA: Ir acumulando gradualmente en debilidad</t>
        </is>
      </c>
    </row>
    <row r="52">
      <c r="A52" s="5" t="inlineStr">
        <is>
          <t>UL</t>
        </is>
      </c>
      <c r="B52" s="6" t="n">
        <v>67</v>
      </c>
      <c r="C52" s="6" t="n">
        <v>70.14</v>
      </c>
      <c r="D52" s="6" t="n">
        <v>4.7</v>
      </c>
      <c r="E52" s="11" t="n">
        <v>58</v>
      </c>
      <c r="F52" s="11" t="n">
        <v>49</v>
      </c>
      <c r="G52" s="11" t="n">
        <v>59</v>
      </c>
      <c r="H52" s="14" t="n">
        <v>93</v>
      </c>
      <c r="I52" s="11" t="n">
        <v>50</v>
      </c>
      <c r="J52" s="11" t="n">
        <v>50</v>
      </c>
      <c r="K52" s="35">
        <f>E52*0.105+F52*0.158+G52*0.421+H52*0.053+I52*0.137+J52*0.126</f>
        <v/>
      </c>
      <c r="L52" s="11" t="inlineStr">
        <is>
          <t>ACCUMULATE</t>
        </is>
      </c>
      <c r="M52" s="33" t="inlineStr">
        <is>
          <t>ACUMULAR UL | Score: 57/100 | Precio: $67.00 → Target: $70.14 (Upside: +5%) | FORTALEZAS: baja volatilidad (beta 0.22, vol 20.5%) | ESTRATEGIA: Ir acumulando gradualmente en debilidad</t>
        </is>
      </c>
    </row>
    <row r="53">
      <c r="A53" s="5" t="inlineStr">
        <is>
          <t>ASML</t>
        </is>
      </c>
      <c r="B53" s="6" t="n">
        <v>1389.04</v>
      </c>
      <c r="C53" s="6" t="n">
        <v>1347.6</v>
      </c>
      <c r="D53" s="31" t="n">
        <v>-3</v>
      </c>
      <c r="E53" s="17" t="n">
        <v>20</v>
      </c>
      <c r="F53" s="14" t="n">
        <v>80</v>
      </c>
      <c r="G53" s="15" t="n">
        <v>65</v>
      </c>
      <c r="H53" s="17" t="n">
        <v>28</v>
      </c>
      <c r="I53" s="11" t="n">
        <v>50</v>
      </c>
      <c r="J53" s="11" t="n">
        <v>50</v>
      </c>
      <c r="K53" s="35">
        <f>E53*0.105+F53*0.158+G53*0.421+H53*0.053+I53*0.137+J53*0.126</f>
        <v/>
      </c>
      <c r="L53" s="9" t="inlineStr">
        <is>
          <t>HOLD</t>
        </is>
      </c>
      <c r="M53" s="33" t="inlineStr">
        <is>
          <t>MANTENER ASML | Score: 57/100 | Precio: $1389.04 → Target: $1347.60 (Upside: -3%) | FORTALEZAS: alta calidad (ROE 53.9%, margen 32.8%) | DEBILIDADES: valoración cara (P/E 43.0x, EV/EBITDA 44.0x); alta volatilidad (beta 1.34, vol 41.3%)</t>
        </is>
      </c>
    </row>
    <row r="54">
      <c r="A54" s="5" t="inlineStr">
        <is>
          <t>GOOGL</t>
        </is>
      </c>
      <c r="B54" s="6" t="n">
        <v>327.93</v>
      </c>
      <c r="C54" s="6" t="n">
        <v>342.89</v>
      </c>
      <c r="D54" s="6" t="n">
        <v>4.6</v>
      </c>
      <c r="E54" s="17" t="n">
        <v>25</v>
      </c>
      <c r="F54" s="14" t="n">
        <v>75</v>
      </c>
      <c r="G54" s="11" t="n">
        <v>47</v>
      </c>
      <c r="H54" s="11" t="n">
        <v>44</v>
      </c>
      <c r="I54" s="14" t="n">
        <v>100</v>
      </c>
      <c r="J54" s="11" t="n">
        <v>50</v>
      </c>
      <c r="K54" s="35">
        <f>E54*0.105+F54*0.158+G54*0.421+H54*0.053+I54*0.137+J54*0.126</f>
        <v/>
      </c>
      <c r="L54" s="11" t="inlineStr">
        <is>
          <t>ACCUMULATE</t>
        </is>
      </c>
      <c r="M54" s="33" t="inlineStr">
        <is>
          <t>ACUMULAR GOOGL | Score: 57/100 | Precio: $327.93 → Target: $342.89 (Upside: +5%) | FORTALEZAS: alta calidad (ROE 35.4%, margen 30.5%); congresistas comprando recientemente | DEBILIDADES: valoración cara (P/E 29.2x, EV/EBITDA 26.9x) | ESTRATEGIA: Ir acumulando gradualmente en debilidad</t>
        </is>
      </c>
    </row>
    <row r="55">
      <c r="A55" s="5" t="inlineStr">
        <is>
          <t>SU</t>
        </is>
      </c>
      <c r="B55" s="6" t="n">
        <v>50.87</v>
      </c>
      <c r="C55" s="6" t="n">
        <v>47.97</v>
      </c>
      <c r="D55" s="31" t="n">
        <v>-5.7</v>
      </c>
      <c r="E55" s="15" t="n">
        <v>70</v>
      </c>
      <c r="F55" s="11" t="n">
        <v>44</v>
      </c>
      <c r="G55" s="15" t="n">
        <v>61</v>
      </c>
      <c r="H55" s="15" t="n">
        <v>63</v>
      </c>
      <c r="I55" s="11" t="n">
        <v>50</v>
      </c>
      <c r="J55" s="11" t="n">
        <v>50</v>
      </c>
      <c r="K55" s="35">
        <f>E55*0.105+F55*0.158+G55*0.421+H55*0.053+I55*0.137+J55*0.126</f>
        <v/>
      </c>
      <c r="L55" s="9" t="inlineStr">
        <is>
          <t>HOLD</t>
        </is>
      </c>
      <c r="M55" s="33" t="inlineStr">
        <is>
          <t>MANTENER SU | Score: 57/100 | Precio: $50.87 → Target: $47.97 (Upside: -6%) | FORTALEZAS: valoración atractiva (P/E 19.9x, EV/EBITDA 4.8x)</t>
        </is>
      </c>
    </row>
    <row r="56">
      <c r="A56" s="5" t="inlineStr">
        <is>
          <t>NVO</t>
        </is>
      </c>
      <c r="B56" s="6" t="n">
        <v>62.26</v>
      </c>
      <c r="C56" s="6" t="n">
        <v>58</v>
      </c>
      <c r="D56" s="31" t="n">
        <v>-6.8</v>
      </c>
      <c r="E56" s="14" t="n">
        <v>76</v>
      </c>
      <c r="F56" s="14" t="n">
        <v>80</v>
      </c>
      <c r="G56" s="11" t="n">
        <v>47</v>
      </c>
      <c r="H56" s="11" t="n">
        <v>51</v>
      </c>
      <c r="I56" s="11" t="n">
        <v>50</v>
      </c>
      <c r="J56" s="11" t="n">
        <v>50</v>
      </c>
      <c r="K56" s="35">
        <f>E56*0.105+F56*0.158+G56*0.421+H56*0.053+I56*0.137+J56*0.126</f>
        <v/>
      </c>
      <c r="L56" s="9" t="inlineStr">
        <is>
          <t>HOLD</t>
        </is>
      </c>
      <c r="M56" s="33" t="inlineStr">
        <is>
          <t>MANTENER NVO | Score: 56/100 | Precio: $62.26 → Target: $58.00 (Upside: -7%) | FORTALEZAS: valoración atractiva (P/E 18.0x, EV/EBITDA 2.1x); alta calidad (ROE 71.5%, margen 44.4%) | ESTRATEGIA: Largo plazo (value-quality) - empresa dominante a buen precio</t>
        </is>
      </c>
    </row>
    <row r="57">
      <c r="A57" s="5" t="inlineStr">
        <is>
          <t>AMT</t>
        </is>
      </c>
      <c r="B57" s="6" t="n">
        <v>178.75</v>
      </c>
      <c r="C57" s="6" t="n">
        <v>217.6</v>
      </c>
      <c r="D57" s="24" t="n">
        <v>21.7</v>
      </c>
      <c r="E57" s="11" t="n">
        <v>47</v>
      </c>
      <c r="F57" s="11" t="n">
        <v>57</v>
      </c>
      <c r="G57" s="15" t="n">
        <v>61</v>
      </c>
      <c r="H57" s="15" t="n">
        <v>68</v>
      </c>
      <c r="I57" s="11" t="n">
        <v>50</v>
      </c>
      <c r="J57" s="11" t="n">
        <v>50</v>
      </c>
      <c r="K57" s="35">
        <f>E57*0.105+F57*0.158+G57*0.421+H57*0.053+I57*0.137+J57*0.126</f>
        <v/>
      </c>
      <c r="L57" s="11" t="inlineStr">
        <is>
          <t>ACCUMULATE</t>
        </is>
      </c>
      <c r="M57" s="33" t="inlineStr">
        <is>
          <t>ACUMULAR AMT | Score: 56/100 | Precio: $178.75 → Target: $217.60 (Upside: +22%) | FORTALEZAS: baja volatilidad (beta 0.93, vol 24.2%) | ESTRATEGIA: Ir acumulando gradualmente en debilidad</t>
        </is>
      </c>
    </row>
    <row r="58">
      <c r="A58" s="5" t="inlineStr">
        <is>
          <t>IBDRY</t>
        </is>
      </c>
      <c r="B58" s="6" t="n">
        <v>86.95999999999999</v>
      </c>
      <c r="C58" s="6" t="n">
        <v>89.39</v>
      </c>
      <c r="D58" s="6" t="n">
        <v>2.8</v>
      </c>
      <c r="E58" s="17" t="n">
        <v>27</v>
      </c>
      <c r="F58" s="9" t="n">
        <v>35</v>
      </c>
      <c r="G58" s="14" t="n">
        <v>72</v>
      </c>
      <c r="H58" s="14" t="n">
        <v>79</v>
      </c>
      <c r="I58" s="11" t="n">
        <v>50</v>
      </c>
      <c r="J58" s="11" t="n">
        <v>50</v>
      </c>
      <c r="K58" s="35">
        <f>E58*0.105+F58*0.158+G58*0.421+H58*0.053+I58*0.137+J58*0.126</f>
        <v/>
      </c>
      <c r="L58" s="11" t="inlineStr">
        <is>
          <t>ACCUMULATE</t>
        </is>
      </c>
      <c r="M58" s="33" t="inlineStr">
        <is>
          <t>ACUMULAR IBDRY | Score: 56/100 | Precio: $86.96 → Target: $89.39 (Upside: +3%) | FORTALEZAS: fuerte momentum (retorno 12M: 60.9%); baja volatilidad (beta 0.65, vol 20.1%) | DEBILIDADES: valoración cara (P/E 30.2x, EV/EBITDA 42.4x); baja calidad operativa (ROE bajo, márgenes débiles) | ESTRATEGIA: Ir acumulando gradualmente en debilidad</t>
        </is>
      </c>
    </row>
    <row r="59">
      <c r="A59" s="5" t="inlineStr">
        <is>
          <t>UUUU</t>
        </is>
      </c>
      <c r="B59" s="6" t="n">
        <v>25.5</v>
      </c>
      <c r="C59" s="6" t="n">
        <v>24.94</v>
      </c>
      <c r="D59" s="31" t="n">
        <v>-2.2</v>
      </c>
      <c r="E59" s="9" t="n">
        <v>37</v>
      </c>
      <c r="F59" s="17" t="n">
        <v>18</v>
      </c>
      <c r="G59" s="14" t="n">
        <v>85</v>
      </c>
      <c r="H59" s="17" t="n">
        <v>3</v>
      </c>
      <c r="I59" s="11" t="n">
        <v>50</v>
      </c>
      <c r="J59" s="11" t="n">
        <v>50</v>
      </c>
      <c r="K59" s="35">
        <f>E59*0.105+F59*0.158+G59*0.421+H59*0.053+I59*0.137+J59*0.126</f>
        <v/>
      </c>
      <c r="L59" s="9" t="inlineStr">
        <is>
          <t>HOLD</t>
        </is>
      </c>
      <c r="M59" s="33" t="inlineStr">
        <is>
          <t>MANTENER UUUU | Score: 56/100 | Precio: $25.50 → Target: $24.94 (Upside: -2%) | FORTALEZAS: fuerte momentum (retorno 12M: 346.6%) | DEBILIDADES: baja calidad operativa (ROE bajo, márgenes débiles); alta volatilidad (beta 1.85, vol 87.0%)</t>
        </is>
      </c>
    </row>
    <row r="60">
      <c r="A60" s="5" t="inlineStr">
        <is>
          <t>EQNR</t>
        </is>
      </c>
      <c r="B60" s="6" t="n">
        <v>25.61</v>
      </c>
      <c r="C60" s="6" t="n">
        <v>23.47</v>
      </c>
      <c r="D60" s="31" t="n">
        <v>-8.4</v>
      </c>
      <c r="E60" s="14" t="n">
        <v>85</v>
      </c>
      <c r="F60" s="11" t="n">
        <v>52</v>
      </c>
      <c r="G60" s="11" t="n">
        <v>51</v>
      </c>
      <c r="H60" s="14" t="n">
        <v>78</v>
      </c>
      <c r="I60" s="11" t="n">
        <v>50</v>
      </c>
      <c r="J60" s="11" t="n">
        <v>50</v>
      </c>
      <c r="K60" s="35">
        <f>E60*0.105+F60*0.158+G60*0.421+H60*0.053+I60*0.137+J60*0.126</f>
        <v/>
      </c>
      <c r="L60" s="9" t="inlineStr">
        <is>
          <t>HOLD</t>
        </is>
      </c>
      <c r="M60" s="33" t="inlineStr">
        <is>
          <t>MANTENER EQNR | Score: 56/100 | Precio: $25.61 → Target: $23.47 (Upside: -8%) | FORTALEZAS: valoración atractiva (P/E 9.7x, EV/EBITDA 2.0x); baja volatilidad (beta -0.31, vol 31.7%)</t>
        </is>
      </c>
    </row>
    <row r="61">
      <c r="A61" s="5" t="inlineStr">
        <is>
          <t>CCJ</t>
        </is>
      </c>
      <c r="B61" s="6" t="n">
        <v>124.04</v>
      </c>
      <c r="C61" s="6" t="n">
        <v>111.96</v>
      </c>
      <c r="D61" s="31" t="n">
        <v>-9.699999999999999</v>
      </c>
      <c r="E61" s="17" t="n">
        <v>14</v>
      </c>
      <c r="F61" s="9" t="n">
        <v>40</v>
      </c>
      <c r="G61" s="14" t="n">
        <v>80</v>
      </c>
      <c r="H61" s="17" t="n">
        <v>21</v>
      </c>
      <c r="I61" s="11" t="n">
        <v>50</v>
      </c>
      <c r="J61" s="11" t="n">
        <v>50</v>
      </c>
      <c r="K61" s="35">
        <f>E61*0.105+F61*0.158+G61*0.421+H61*0.053+I61*0.137+J61*0.126</f>
        <v/>
      </c>
      <c r="L61" s="9" t="inlineStr">
        <is>
          <t>HOLD</t>
        </is>
      </c>
      <c r="M61" s="33" t="inlineStr">
        <is>
          <t>MANTENER CCJ | Score: 56/100 | Precio: $124.04 → Target: $111.96 (Upside: -10%) | FORTALEZAS: fuerte momentum (retorno 12M: 121.9%) | DEBILIDADES: valoración cara (P/E 87.3x, EV/EBITDA 57.9x); alta volatilidad (beta 1.22, vol 53.5%)</t>
        </is>
      </c>
    </row>
    <row r="62">
      <c r="A62" s="5" t="inlineStr">
        <is>
          <t>SEDG</t>
        </is>
      </c>
      <c r="B62" s="6" t="n">
        <v>34.6</v>
      </c>
      <c r="C62" s="6" t="n">
        <v>32.09</v>
      </c>
      <c r="D62" s="31" t="n">
        <v>-7.3</v>
      </c>
      <c r="E62" s="11" t="n">
        <v>59</v>
      </c>
      <c r="F62" s="17" t="n">
        <v>19</v>
      </c>
      <c r="G62" s="14" t="n">
        <v>79</v>
      </c>
      <c r="H62" s="17" t="n">
        <v>4</v>
      </c>
      <c r="I62" s="11" t="n">
        <v>50</v>
      </c>
      <c r="J62" s="11" t="n">
        <v>50</v>
      </c>
      <c r="K62" s="35">
        <f>E62*0.105+F62*0.158+G62*0.421+H62*0.053+I62*0.137+J62*0.126</f>
        <v/>
      </c>
      <c r="L62" s="9" t="inlineStr">
        <is>
          <t>HOLD</t>
        </is>
      </c>
      <c r="M62" s="33" t="inlineStr">
        <is>
          <t>MANTENER SEDG | Score: 56/100 | Precio: $34.60 → Target: $32.09 (Upside: -7%) | FORTALEZAS: fuerte momentum (retorno 12M: 135.7%) | DEBILIDADES: baja calidad operativa (ROE bajo, márgenes débiles); alta volatilidad (beta 1.67, vol 106.4%)</t>
        </is>
      </c>
    </row>
    <row r="63">
      <c r="A63" s="5" t="inlineStr">
        <is>
          <t>ERIC</t>
        </is>
      </c>
      <c r="B63" s="6" t="n">
        <v>10.43</v>
      </c>
      <c r="C63" s="6" t="n">
        <v>9.460000000000001</v>
      </c>
      <c r="D63" s="31" t="n">
        <v>-9.300000000000001</v>
      </c>
      <c r="E63" s="15" t="n">
        <v>68</v>
      </c>
      <c r="F63" s="11" t="n">
        <v>58</v>
      </c>
      <c r="G63" s="11" t="n">
        <v>56</v>
      </c>
      <c r="H63" s="11" t="n">
        <v>44</v>
      </c>
      <c r="I63" s="11" t="n">
        <v>50</v>
      </c>
      <c r="J63" s="11" t="n">
        <v>50</v>
      </c>
      <c r="K63" s="35">
        <f>E63*0.105+F63*0.158+G63*0.421+H63*0.053+I63*0.137+J63*0.126</f>
        <v/>
      </c>
      <c r="L63" s="9" t="inlineStr">
        <is>
          <t>HOLD</t>
        </is>
      </c>
      <c r="M63" s="33" t="inlineStr">
        <is>
          <t>MANTENER ERIC | Score: 55/100 | Precio: $10.43 → Target: $9.46 (Upside: -9%) | FORTALEZAS: valoración atractiva (P/E 17.0x)</t>
        </is>
      </c>
    </row>
    <row r="64">
      <c r="A64" s="5" t="inlineStr">
        <is>
          <t>ING</t>
        </is>
      </c>
      <c r="B64" s="6" t="n">
        <v>28.63</v>
      </c>
      <c r="C64" s="6" t="n">
        <v>28.95</v>
      </c>
      <c r="D64" s="6" t="n">
        <v>1.1</v>
      </c>
      <c r="E64" s="15" t="n">
        <v>61</v>
      </c>
      <c r="F64" s="11" t="n">
        <v>42</v>
      </c>
      <c r="G64" s="15" t="n">
        <v>63</v>
      </c>
      <c r="H64" s="11" t="n">
        <v>53</v>
      </c>
      <c r="I64" s="11" t="n">
        <v>50</v>
      </c>
      <c r="J64" s="11" t="n">
        <v>50</v>
      </c>
      <c r="K64" s="35">
        <f>E64*0.105+F64*0.158+G64*0.421+H64*0.053+I64*0.137+J64*0.126</f>
        <v/>
      </c>
      <c r="L64" s="11" t="inlineStr">
        <is>
          <t>ACCUMULATE</t>
        </is>
      </c>
      <c r="M64" s="33" t="inlineStr">
        <is>
          <t>ACUMULAR ING | Score: 55/100 | Precio: $28.63 → Target: $28.95 (Upside: +1%) | ESTRATEGIA: Ir acumulando gradualmente en debilidad</t>
        </is>
      </c>
    </row>
    <row r="65">
      <c r="A65" s="5" t="inlineStr">
        <is>
          <t>UEC</t>
        </is>
      </c>
      <c r="B65" s="6" t="n">
        <v>18.62</v>
      </c>
      <c r="C65" s="6" t="n">
        <v>17.42</v>
      </c>
      <c r="D65" s="31" t="n">
        <v>-6.4</v>
      </c>
      <c r="E65" s="9" t="n">
        <v>38</v>
      </c>
      <c r="F65" s="17" t="n">
        <v>19</v>
      </c>
      <c r="G65" s="14" t="n">
        <v>82</v>
      </c>
      <c r="H65" s="17" t="n">
        <v>14</v>
      </c>
      <c r="I65" s="11" t="n">
        <v>50</v>
      </c>
      <c r="J65" s="11" t="n">
        <v>50</v>
      </c>
      <c r="K65" s="35">
        <f>E65*0.105+F65*0.158+G65*0.421+H65*0.053+I65*0.137+J65*0.126</f>
        <v/>
      </c>
      <c r="L65" s="9" t="inlineStr">
        <is>
          <t>HOLD</t>
        </is>
      </c>
      <c r="M65" s="33" t="inlineStr">
        <is>
          <t>MANTENER UEC | Score: 55/100 | Precio: $18.62 → Target: $17.42 (Upside: -6%) | FORTALEZAS: fuerte momentum (retorno 12M: 132.5%) | DEBILIDADES: baja calidad operativa (ROE bajo, márgenes débiles); alta volatilidad (beta 1.24, vol 74.4%)</t>
        </is>
      </c>
    </row>
    <row r="66">
      <c r="A66" s="5" t="inlineStr">
        <is>
          <t>AIR.PA</t>
        </is>
      </c>
      <c r="B66" s="6" t="n">
        <v>206.8</v>
      </c>
      <c r="C66" s="6" t="n">
        <v>227.75</v>
      </c>
      <c r="D66" s="24" t="n">
        <v>10.1</v>
      </c>
      <c r="E66" s="17" t="n">
        <v>27</v>
      </c>
      <c r="F66" s="11" t="n">
        <v>51</v>
      </c>
      <c r="G66" s="11" t="n">
        <v>54</v>
      </c>
      <c r="H66" s="11" t="n">
        <v>58</v>
      </c>
      <c r="I66" s="11" t="n">
        <v>50</v>
      </c>
      <c r="J66" s="11" t="n">
        <v>50</v>
      </c>
      <c r="K66" s="35">
        <f>E66*0.105+F66*0.158+G66*0.421+H66*0.053+I66*0.137+J66*0.126</f>
        <v/>
      </c>
      <c r="L66" s="11" t="inlineStr">
        <is>
          <t>ACCUMULATE</t>
        </is>
      </c>
      <c r="M66" s="33" t="inlineStr">
        <is>
          <t>ACUMULAR AIR.PA | Score: 55/100 | Precio: $206.80 → Target: $227.75 (Upside: +10%) | DEBILIDADES: valoración cara (P/E 26.4x, EV/EBITDA 21.2x) | ESTRATEGIA: Ir acumulando gradualmente en debilidad</t>
        </is>
      </c>
    </row>
    <row r="67">
      <c r="A67" s="5" t="inlineStr">
        <is>
          <t>TTE</t>
        </is>
      </c>
      <c r="B67" s="6" t="n">
        <v>69.20999999999999</v>
      </c>
      <c r="C67" s="6" t="n">
        <v>71.56</v>
      </c>
      <c r="D67" s="6" t="n">
        <v>3.4</v>
      </c>
      <c r="E67" s="14" t="n">
        <v>79</v>
      </c>
      <c r="F67" s="9" t="n">
        <v>37</v>
      </c>
      <c r="G67" s="11" t="n">
        <v>55</v>
      </c>
      <c r="H67" s="14" t="n">
        <v>89</v>
      </c>
      <c r="I67" s="11" t="n">
        <v>50</v>
      </c>
      <c r="J67" s="11" t="n">
        <v>50</v>
      </c>
      <c r="K67" s="35">
        <f>E67*0.105+F67*0.158+G67*0.421+H67*0.053+I67*0.137+J67*0.126</f>
        <v/>
      </c>
      <c r="L67" s="11" t="inlineStr">
        <is>
          <t>ACCUMULATE</t>
        </is>
      </c>
      <c r="M67" s="33" t="inlineStr">
        <is>
          <t>ACUMULAR TTE | Score: 55/100 | Precio: $69.21 → Target: $71.56 (Upside: +3%) | FORTALEZAS: valoración atractiva (P/E 10.8x, EV/EBITDA 5.3x); baja volatilidad (beta 0.23, vol 23.1%) | ESTRATEGIA: Ir acumulando gradualmente en debilidad</t>
        </is>
      </c>
    </row>
    <row r="68">
      <c r="A68" s="5" t="inlineStr">
        <is>
          <t>BCS</t>
        </is>
      </c>
      <c r="B68" s="6" t="n">
        <v>26.2</v>
      </c>
      <c r="C68" s="6" t="n">
        <v>23.26</v>
      </c>
      <c r="D68" s="31" t="n">
        <v>-11.2</v>
      </c>
      <c r="E68" s="15" t="n">
        <v>63</v>
      </c>
      <c r="F68" s="9" t="n">
        <v>36</v>
      </c>
      <c r="G68" s="15" t="n">
        <v>62</v>
      </c>
      <c r="H68" s="11" t="n">
        <v>54</v>
      </c>
      <c r="I68" s="11" t="n">
        <v>50</v>
      </c>
      <c r="J68" s="11" t="n">
        <v>50</v>
      </c>
      <c r="K68" s="35">
        <f>E68*0.105+F68*0.158+G68*0.421+H68*0.053+I68*0.137+J68*0.126</f>
        <v/>
      </c>
      <c r="L68" s="9" t="inlineStr">
        <is>
          <t>HOLD</t>
        </is>
      </c>
      <c r="M68" s="33" t="inlineStr">
        <is>
          <t>MANTENER BCS | Score: 55/100 | Precio: $26.20 → Target: $23.26 (Upside: -11%)</t>
        </is>
      </c>
    </row>
    <row r="69">
      <c r="A69" s="5" t="inlineStr">
        <is>
          <t>PEP</t>
        </is>
      </c>
      <c r="B69" s="6" t="n">
        <v>144.58</v>
      </c>
      <c r="C69" s="6" t="n">
        <v>157.27</v>
      </c>
      <c r="D69" s="6" t="n">
        <v>8.800000000000001</v>
      </c>
      <c r="E69" s="15" t="n">
        <v>61</v>
      </c>
      <c r="F69" s="11" t="n">
        <v>51</v>
      </c>
      <c r="G69" s="11" t="n">
        <v>54</v>
      </c>
      <c r="H69" s="14" t="n">
        <v>83</v>
      </c>
      <c r="I69" s="11" t="n">
        <v>50</v>
      </c>
      <c r="J69" s="11" t="n">
        <v>50</v>
      </c>
      <c r="K69" s="35">
        <f>E69*0.105+F69*0.158+G69*0.421+H69*0.053+I69*0.137+J69*0.126</f>
        <v/>
      </c>
      <c r="L69" s="11" t="inlineStr">
        <is>
          <t>ACCUMULATE</t>
        </is>
      </c>
      <c r="M69" s="33" t="inlineStr">
        <is>
          <t>ACUMULAR PEP | Score: 55/100 | Precio: $144.58 → Target: $157.27 (Upside: +9%) | FORTALEZAS: baja volatilidad (beta 0.42, vol 22.7%) | ESTRATEGIA: Ir acumulando gradualmente en debilidad</t>
        </is>
      </c>
    </row>
    <row r="70">
      <c r="A70" s="5" t="inlineStr">
        <is>
          <t>SNY</t>
        </is>
      </c>
      <c r="B70" s="6" t="n">
        <v>47.2</v>
      </c>
      <c r="C70" s="6" t="n">
        <v>58.08</v>
      </c>
      <c r="D70" s="24" t="n">
        <v>23.1</v>
      </c>
      <c r="E70" s="14" t="n">
        <v>71</v>
      </c>
      <c r="F70" s="11" t="n">
        <v>44</v>
      </c>
      <c r="G70" s="11" t="n">
        <v>55</v>
      </c>
      <c r="H70" s="14" t="n">
        <v>75</v>
      </c>
      <c r="I70" s="11" t="n">
        <v>50</v>
      </c>
      <c r="J70" s="11" t="n">
        <v>50</v>
      </c>
      <c r="K70" s="35">
        <f>E70*0.105+F70*0.158+G70*0.421+H70*0.053+I70*0.137+J70*0.126</f>
        <v/>
      </c>
      <c r="L70" s="11" t="inlineStr">
        <is>
          <t>ACCUMULATE</t>
        </is>
      </c>
      <c r="M70" s="33" t="inlineStr">
        <is>
          <t>ACUMULAR SNY | Score: 55/100 | Precio: $47.20 → Target: $58.08 (Upside: +23%) | FORTALEZAS: valoración atractiva (P/E 9.6x, EV/EBITDA 5.7x); baja volatilidad (beta 0.40, vol 27.1%) | ESTRATEGIA: Ir acumulando gradualmente en debilidad</t>
        </is>
      </c>
    </row>
    <row r="71">
      <c r="A71" s="5" t="inlineStr">
        <is>
          <t>MUFG</t>
        </is>
      </c>
      <c r="B71" s="6" t="n">
        <v>17.88</v>
      </c>
      <c r="C71" s="6" t="n">
        <v>17.17</v>
      </c>
      <c r="D71" s="31" t="n">
        <v>-4</v>
      </c>
      <c r="E71" s="11" t="n">
        <v>54</v>
      </c>
      <c r="F71" s="14" t="n">
        <v>70</v>
      </c>
      <c r="G71" s="11" t="n">
        <v>48</v>
      </c>
      <c r="H71" s="14" t="n">
        <v>77</v>
      </c>
      <c r="I71" s="11" t="n">
        <v>50</v>
      </c>
      <c r="J71" s="11" t="n">
        <v>50</v>
      </c>
      <c r="K71" s="35">
        <f>E71*0.105+F71*0.158+G71*0.421+H71*0.053+I71*0.137+J71*0.126</f>
        <v/>
      </c>
      <c r="L71" s="9" t="inlineStr">
        <is>
          <t>HOLD</t>
        </is>
      </c>
      <c r="M71" s="33" t="inlineStr">
        <is>
          <t>MANTENER MUFG | Score: 54/100 | Precio: $17.88 → Target: $17.17 (Upside: -4%) | FORTALEZAS: alta calidad (ROE 6.0%, margen 49.9%); baja volatilidad (beta 0.14, vol 31.0%)</t>
        </is>
      </c>
    </row>
    <row r="72">
      <c r="A72" s="5" t="inlineStr">
        <is>
          <t>GD</t>
        </is>
      </c>
      <c r="B72" s="6" t="n">
        <v>363.27</v>
      </c>
      <c r="C72" s="6" t="n">
        <v>393.01</v>
      </c>
      <c r="D72" s="6" t="n">
        <v>8.199999999999999</v>
      </c>
      <c r="E72" s="11" t="n">
        <v>51</v>
      </c>
      <c r="F72" s="11" t="n">
        <v>40</v>
      </c>
      <c r="G72" s="11" t="n">
        <v>59</v>
      </c>
      <c r="H72" s="14" t="n">
        <v>84</v>
      </c>
      <c r="I72" s="11" t="n">
        <v>50</v>
      </c>
      <c r="J72" s="11" t="n">
        <v>50</v>
      </c>
      <c r="K72" s="35">
        <f>E72*0.105+F72*0.158+G72*0.421+H72*0.053+I72*0.137+J72*0.126</f>
        <v/>
      </c>
      <c r="L72" s="11" t="inlineStr">
        <is>
          <t>ACCUMULATE</t>
        </is>
      </c>
      <c r="M72" s="33" t="inlineStr">
        <is>
          <t>ACUMULAR GD | Score: 54/100 | Precio: $363.27 → Target: $393.01 (Upside: +8%) | FORTALEZAS: baja volatilidad (beta 0.41, vol 22.0%) | ESTRATEGIA: Ir acumulando gradualmente en debilidad</t>
        </is>
      </c>
    </row>
    <row r="73">
      <c r="A73" s="5" t="inlineStr">
        <is>
          <t>PBR</t>
        </is>
      </c>
      <c r="B73" s="6" t="n">
        <v>14.28</v>
      </c>
      <c r="C73" s="6" t="n">
        <v>14.79</v>
      </c>
      <c r="D73" s="6" t="n">
        <v>3.6</v>
      </c>
      <c r="E73" s="14" t="n">
        <v>91</v>
      </c>
      <c r="F73" s="11" t="n">
        <v>56</v>
      </c>
      <c r="G73" s="11" t="n">
        <v>44</v>
      </c>
      <c r="H73" s="14" t="n">
        <v>78</v>
      </c>
      <c r="I73" s="11" t="n">
        <v>50</v>
      </c>
      <c r="J73" s="11" t="n">
        <v>50</v>
      </c>
      <c r="K73" s="35">
        <f>E73*0.105+F73*0.158+G73*0.421+H73*0.053+I73*0.137+J73*0.126</f>
        <v/>
      </c>
      <c r="L73" s="11" t="inlineStr">
        <is>
          <t>ACCUMULATE</t>
        </is>
      </c>
      <c r="M73" s="33" t="inlineStr">
        <is>
          <t>ACUMULAR PBR | Score: 54/100 | Precio: $14.28 → Target: $14.79 (Upside: +4%) | FORTALEZAS: valoración atractiva (P/E 5.6x, EV/EBITDA 2.6x); baja volatilidad (beta -0.03, vol 31.4%) | ESTRATEGIA: Ir acumulando gradualmente en debilidad</t>
        </is>
      </c>
    </row>
    <row r="74">
      <c r="A74" s="5" t="inlineStr">
        <is>
          <t>NESN.SW</t>
        </is>
      </c>
      <c r="B74" s="6" t="n">
        <v>72.47</v>
      </c>
      <c r="C74" s="6" t="n">
        <v>87.06</v>
      </c>
      <c r="D74" s="24" t="n">
        <v>20.1</v>
      </c>
      <c r="E74" s="11" t="n">
        <v>59</v>
      </c>
      <c r="F74" s="11" t="n">
        <v>47</v>
      </c>
      <c r="G74" s="11" t="n">
        <v>54</v>
      </c>
      <c r="H74" s="14" t="n">
        <v>81</v>
      </c>
      <c r="I74" s="11" t="n">
        <v>50</v>
      </c>
      <c r="J74" s="11" t="n">
        <v>50</v>
      </c>
      <c r="K74" s="35">
        <f>E74*0.105+F74*0.158+G74*0.421+H74*0.053+I74*0.137+J74*0.126</f>
        <v/>
      </c>
      <c r="L74" s="11" t="inlineStr">
        <is>
          <t>ACCUMULATE</t>
        </is>
      </c>
      <c r="M74" s="33" t="inlineStr">
        <is>
          <t>ACUMULAR NESN.SW | Score: 54/100 | Precio: $72.47 → Target: $87.06 (Upside: +20%) | FORTALEZAS: baja volatilidad (beta 0.51, vol 21.3%) | ESTRATEGIA: Ir acumulando gradualmente en debilidad</t>
        </is>
      </c>
    </row>
    <row r="75">
      <c r="A75" s="5" t="inlineStr">
        <is>
          <t>WMT</t>
        </is>
      </c>
      <c r="B75" s="6" t="n">
        <v>117.73</v>
      </c>
      <c r="C75" s="6" t="n">
        <v>123.83</v>
      </c>
      <c r="D75" s="6" t="n">
        <v>5.2</v>
      </c>
      <c r="E75" s="17" t="n">
        <v>24</v>
      </c>
      <c r="F75" s="9" t="n">
        <v>40</v>
      </c>
      <c r="G75" s="15" t="n">
        <v>67</v>
      </c>
      <c r="H75" s="14" t="n">
        <v>72</v>
      </c>
      <c r="I75" s="11" t="n">
        <v>50</v>
      </c>
      <c r="J75" s="11" t="n">
        <v>50</v>
      </c>
      <c r="K75" s="35">
        <f>E75*0.105+F75*0.158+G75*0.421+H75*0.053+I75*0.137+J75*0.126</f>
        <v/>
      </c>
      <c r="L75" s="11" t="inlineStr">
        <is>
          <t>ACCUMULATE</t>
        </is>
      </c>
      <c r="M75" s="33" t="inlineStr">
        <is>
          <t>ACUMULAR WMT | Score: 54/100 | Precio: $117.73 → Target: $123.83 (Upside: +5%) | FORTALEZAS: fuerte momentum (retorno 12M: 25.4%); baja volatilidad (beta 0.66, vol 25.3%) | DEBILIDADES: valoración cara (P/E 39.6x, EV/EBITDA 23.5x) | ESTRATEGIA: Ir acumulando gradualmente en debilidad</t>
        </is>
      </c>
    </row>
    <row r="76">
      <c r="A76" s="5" t="inlineStr">
        <is>
          <t>PG</t>
        </is>
      </c>
      <c r="B76" s="6" t="n">
        <v>150.15</v>
      </c>
      <c r="C76" s="6" t="n">
        <v>167.18</v>
      </c>
      <c r="D76" s="24" t="n">
        <v>11.3</v>
      </c>
      <c r="E76" s="11" t="n">
        <v>54</v>
      </c>
      <c r="F76" s="15" t="n">
        <v>60</v>
      </c>
      <c r="G76" s="11" t="n">
        <v>49</v>
      </c>
      <c r="H76" s="14" t="n">
        <v>87</v>
      </c>
      <c r="I76" s="11" t="n">
        <v>50</v>
      </c>
      <c r="J76" s="11" t="n">
        <v>50</v>
      </c>
      <c r="K76" s="35">
        <f>E76*0.105+F76*0.158+G76*0.421+H76*0.053+I76*0.137+J76*0.126</f>
        <v/>
      </c>
      <c r="L76" s="11" t="inlineStr">
        <is>
          <t>ACCUMULATE</t>
        </is>
      </c>
      <c r="M76" s="33" t="inlineStr">
        <is>
          <t>ACUMULAR PG | Score: 54/100 | Precio: $150.15 → Target: $167.18 (Upside: +11%) | FORTALEZAS: baja volatilidad (beta 0.39, vol 19.1%) | ESTRATEGIA: Ir acumulando gradualmente en debilidad</t>
        </is>
      </c>
    </row>
    <row r="77">
      <c r="A77" s="5" t="inlineStr">
        <is>
          <t>MRNA</t>
        </is>
      </c>
      <c r="B77" s="6" t="n">
        <v>48.71</v>
      </c>
      <c r="C77" s="6" t="n">
        <v>37.7</v>
      </c>
      <c r="D77" s="31" t="n">
        <v>-22.6</v>
      </c>
      <c r="E77" s="15" t="n">
        <v>65</v>
      </c>
      <c r="F77" s="17" t="n">
        <v>19</v>
      </c>
      <c r="G77" s="14" t="n">
        <v>70</v>
      </c>
      <c r="H77" s="17" t="n">
        <v>17</v>
      </c>
      <c r="I77" s="11" t="n">
        <v>50</v>
      </c>
      <c r="J77" s="11" t="n">
        <v>50</v>
      </c>
      <c r="K77" s="35">
        <f>E77*0.105+F77*0.158+G77*0.421+H77*0.053+I77*0.137+J77*0.126</f>
        <v/>
      </c>
      <c r="L77" s="9" t="inlineStr">
        <is>
          <t>HOLD</t>
        </is>
      </c>
      <c r="M77" s="33" t="inlineStr">
        <is>
          <t>MANTENER MRNA | Score: 54/100 | Precio: $48.71 → Target: $37.70 (Upside: -23%) | FORTALEZAS: valoración atractiva (P/E -7.0x, EV/EBITDA -4.7x); fuerte momentum (retorno 12M: 17.6%) | DEBILIDADES: baja calidad operativa (ROE bajo, márgenes débiles); alta volatilidad (beta 1.17, vol 68.8%)</t>
        </is>
      </c>
    </row>
    <row r="78">
      <c r="A78" s="5" t="inlineStr">
        <is>
          <t>NOK</t>
        </is>
      </c>
      <c r="B78" s="6" t="n">
        <v>6.77</v>
      </c>
      <c r="C78" s="6" t="n">
        <v>6.7</v>
      </c>
      <c r="D78" s="31" t="n">
        <v>-1</v>
      </c>
      <c r="E78" s="11" t="n">
        <v>55</v>
      </c>
      <c r="F78" s="9" t="n">
        <v>38</v>
      </c>
      <c r="G78" s="15" t="n">
        <v>61</v>
      </c>
      <c r="H78" s="11" t="n">
        <v>52</v>
      </c>
      <c r="I78" s="11" t="n">
        <v>50</v>
      </c>
      <c r="J78" s="11" t="n">
        <v>50</v>
      </c>
      <c r="K78" s="35">
        <f>E78*0.105+F78*0.158+G78*0.421+H78*0.053+I78*0.137+J78*0.126</f>
        <v/>
      </c>
      <c r="L78" s="9" t="inlineStr">
        <is>
          <t>HOLD</t>
        </is>
      </c>
      <c r="M78" s="33" t="inlineStr">
        <is>
          <t>MANTENER NOK | Score: 53/100 | Precio: $6.77 → Target: $6.70 (Upside: -1%)</t>
        </is>
      </c>
    </row>
    <row r="79">
      <c r="A79" s="5" t="inlineStr">
        <is>
          <t>SHEL</t>
        </is>
      </c>
      <c r="B79" s="6" t="n">
        <v>73.75</v>
      </c>
      <c r="C79" s="6" t="n">
        <v>83.16</v>
      </c>
      <c r="D79" s="24" t="n">
        <v>12.8</v>
      </c>
      <c r="E79" s="14" t="n">
        <v>75</v>
      </c>
      <c r="F79" s="9" t="n">
        <v>33</v>
      </c>
      <c r="G79" s="11" t="n">
        <v>52</v>
      </c>
      <c r="H79" s="14" t="n">
        <v>96</v>
      </c>
      <c r="I79" s="11" t="n">
        <v>50</v>
      </c>
      <c r="J79" s="11" t="n">
        <v>50</v>
      </c>
      <c r="K79" s="35">
        <f>E79*0.105+F79*0.158+G79*0.421+H79*0.053+I79*0.137+J79*0.126</f>
        <v/>
      </c>
      <c r="L79" s="11" t="inlineStr">
        <is>
          <t>ACCUMULATE</t>
        </is>
      </c>
      <c r="M79" s="33" t="inlineStr">
        <is>
          <t>ACUMULAR SHEL | Score: 53/100 | Precio: $73.75 → Target: $83.16 (Upside: +13%) | FORTALEZAS: valoración atractiva (P/E 11.5x, EV/EBITDA 9.7x); baja volatilidad (beta -0.10, vol 22.7%) | DEBILIDADES: baja calidad operativa (ROE bajo, márgenes débiles) | ESTRATEGIA: Ir acumulando gradualmente en debilidad</t>
        </is>
      </c>
    </row>
    <row r="80">
      <c r="A80" s="5" t="inlineStr">
        <is>
          <t>CMCSA</t>
        </is>
      </c>
      <c r="B80" s="6" t="n">
        <v>29.3</v>
      </c>
      <c r="C80" s="6" t="n">
        <v>33.76</v>
      </c>
      <c r="D80" s="24" t="n">
        <v>15.2</v>
      </c>
      <c r="E80" s="14" t="n">
        <v>77</v>
      </c>
      <c r="F80" s="11" t="n">
        <v>46</v>
      </c>
      <c r="G80" s="11" t="n">
        <v>50</v>
      </c>
      <c r="H80" s="15" t="n">
        <v>64</v>
      </c>
      <c r="I80" s="11" t="n">
        <v>50</v>
      </c>
      <c r="J80" s="11" t="n">
        <v>50</v>
      </c>
      <c r="K80" s="35">
        <f>E80*0.105+F80*0.158+G80*0.421+H80*0.053+I80*0.137+J80*0.126</f>
        <v/>
      </c>
      <c r="L80" s="11" t="inlineStr">
        <is>
          <t>ACCUMULATE</t>
        </is>
      </c>
      <c r="M80" s="33" t="inlineStr">
        <is>
          <t>ACUMULAR CMCSA | Score: 53/100 | Precio: $29.30 → Target: $33.76 (Upside: +15%) | FORTALEZAS: valoración atractiva (P/E 7.6x, EV/EBITDA 5.2x) | ESTRATEGIA: Ir acumulando gradualmente en debilidad</t>
        </is>
      </c>
    </row>
    <row r="81">
      <c r="A81" s="5" t="inlineStr">
        <is>
          <t>NOC</t>
        </is>
      </c>
      <c r="B81" s="6" t="n">
        <v>672.95</v>
      </c>
      <c r="C81" s="6" t="n">
        <v>680.4400000000001</v>
      </c>
      <c r="D81" s="6" t="n">
        <v>1.1</v>
      </c>
      <c r="E81" s="11" t="n">
        <v>42</v>
      </c>
      <c r="F81" s="11" t="n">
        <v>43</v>
      </c>
      <c r="G81" s="11" t="n">
        <v>58</v>
      </c>
      <c r="H81" s="14" t="n">
        <v>83</v>
      </c>
      <c r="I81" s="11" t="n">
        <v>50</v>
      </c>
      <c r="J81" s="11" t="n">
        <v>50</v>
      </c>
      <c r="K81" s="35">
        <f>E81*0.105+F81*0.158+G81*0.421+H81*0.053+I81*0.137+J81*0.126</f>
        <v/>
      </c>
      <c r="L81" s="11" t="inlineStr">
        <is>
          <t>ACCUMULATE</t>
        </is>
      </c>
      <c r="M81" s="33" t="inlineStr">
        <is>
          <t>ACUMULAR NOC | Score: 53/100 | Precio: $672.95 → Target: $680.44 (Upside: +1%) | FORTALEZAS: baja volatilidad (beta 0.05, vol 28.5%) | ESTRATEGIA: Ir acumulando gradualmente en debilidad</t>
        </is>
      </c>
    </row>
    <row r="82">
      <c r="A82" s="5" t="inlineStr">
        <is>
          <t>PLD</t>
        </is>
      </c>
      <c r="B82" s="6" t="n">
        <v>127.15</v>
      </c>
      <c r="C82" s="6" t="n">
        <v>138.25</v>
      </c>
      <c r="D82" s="6" t="n">
        <v>8.699999999999999</v>
      </c>
      <c r="E82" s="17" t="n">
        <v>29</v>
      </c>
      <c r="F82" s="9" t="n">
        <v>39</v>
      </c>
      <c r="G82" s="15" t="n">
        <v>66</v>
      </c>
      <c r="H82" s="11" t="n">
        <v>47</v>
      </c>
      <c r="I82" s="11" t="n">
        <v>50</v>
      </c>
      <c r="J82" s="11" t="n">
        <v>50</v>
      </c>
      <c r="K82" s="35">
        <f>E82*0.105+F82*0.158+G82*0.421+H82*0.053+I82*0.137+J82*0.126</f>
        <v/>
      </c>
      <c r="L82" s="11" t="inlineStr">
        <is>
          <t>ACCUMULATE</t>
        </is>
      </c>
      <c r="M82" s="33" t="inlineStr">
        <is>
          <t>ACUMULAR PLD | Score: 53/100 | Precio: $127.15 → Target: $138.25 (Upside: +9%) | FORTALEZAS: fuerte momentum (retorno 12M: 10.7%) | DEBILIDADES: valoración cara (P/E 38.5x, EV/EBITDA 24.9x) | ESTRATEGIA: Ir acumulando gradualmente en debilidad</t>
        </is>
      </c>
    </row>
    <row r="83">
      <c r="A83" s="5" t="inlineStr">
        <is>
          <t>GOLD</t>
        </is>
      </c>
      <c r="B83" s="6" t="n">
        <v>43.11</v>
      </c>
      <c r="C83" s="6" t="n">
        <v>46.25</v>
      </c>
      <c r="D83" s="6" t="n">
        <v>7.3</v>
      </c>
      <c r="E83" s="9" t="n">
        <v>37</v>
      </c>
      <c r="F83" s="17" t="n">
        <v>9</v>
      </c>
      <c r="G83" s="14" t="n">
        <v>75</v>
      </c>
      <c r="H83" s="11" t="n">
        <v>49</v>
      </c>
      <c r="I83" s="11" t="n">
        <v>50</v>
      </c>
      <c r="J83" s="11" t="n">
        <v>50</v>
      </c>
      <c r="K83" s="35">
        <f>E83*0.105+F83*0.158+G83*0.421+H83*0.053+I83*0.137+J83*0.126</f>
        <v/>
      </c>
      <c r="L83" s="11" t="inlineStr">
        <is>
          <t>ACCUMULATE</t>
        </is>
      </c>
      <c r="M83" s="33" t="inlineStr">
        <is>
          <t>ACUMULAR GOLD | Score: 53/100 | Precio: $43.11 → Target: $46.25 (Upside: +7%) | FORTALEZAS: fuerte momentum (retorno 12M: 62.2%) | DEBILIDADES: baja calidad operativa (ROE bajo, márgenes débiles) | ESTRATEGIA: Ir acumulando gradualmente en debilidad</t>
        </is>
      </c>
    </row>
    <row r="84">
      <c r="A84" s="5" t="inlineStr">
        <is>
          <t>ALB</t>
        </is>
      </c>
      <c r="B84" s="6" t="n">
        <v>189.51</v>
      </c>
      <c r="C84" s="6" t="n">
        <v>165.06</v>
      </c>
      <c r="D84" s="31" t="n">
        <v>-12.9</v>
      </c>
      <c r="E84" s="17" t="n">
        <v>11</v>
      </c>
      <c r="F84" s="17" t="n">
        <v>12</v>
      </c>
      <c r="G84" s="14" t="n">
        <v>84</v>
      </c>
      <c r="H84" s="17" t="n">
        <v>14</v>
      </c>
      <c r="I84" s="11" t="n">
        <v>50</v>
      </c>
      <c r="J84" s="11" t="n">
        <v>50</v>
      </c>
      <c r="K84" s="35">
        <f>E84*0.105+F84*0.158+G84*0.421+H84*0.053+I84*0.137+J84*0.126</f>
        <v/>
      </c>
      <c r="L84" s="9" t="inlineStr">
        <is>
          <t>HOLD</t>
        </is>
      </c>
      <c r="M84" s="33" t="inlineStr">
        <is>
          <t>MANTENER ALB | Score: 53/100 | Precio: $189.51 → Target: $165.06 (Upside: -13%) | FORTALEZAS: fuerte momentum (retorno 12M: 117.9%) | DEBILIDADES: valoración cara (P/E 82.8x, EV/EBITDA 38.2x); baja calidad operativa (ROE bajo, márgenes débiles); alta volatilidad (beta 1.41, vol 62.5%)</t>
        </is>
      </c>
    </row>
    <row r="85">
      <c r="A85" s="5" t="inlineStr">
        <is>
          <t>RTX</t>
        </is>
      </c>
      <c r="B85" s="6" t="n">
        <v>195.93</v>
      </c>
      <c r="C85" s="6" t="n">
        <v>202.83</v>
      </c>
      <c r="D85" s="6" t="n">
        <v>3.5</v>
      </c>
      <c r="E85" s="9" t="n">
        <v>32</v>
      </c>
      <c r="F85" s="17" t="n">
        <v>29</v>
      </c>
      <c r="G85" s="15" t="n">
        <v>66</v>
      </c>
      <c r="H85" s="14" t="n">
        <v>73</v>
      </c>
      <c r="I85" s="11" t="n">
        <v>50</v>
      </c>
      <c r="J85" s="11" t="n">
        <v>50</v>
      </c>
      <c r="K85" s="35">
        <f>E85*0.105+F85*0.158+G85*0.421+H85*0.053+I85*0.137+J85*0.126</f>
        <v/>
      </c>
      <c r="L85" s="11" t="inlineStr">
        <is>
          <t>ACCUMULATE</t>
        </is>
      </c>
      <c r="M85" s="33" t="inlineStr">
        <is>
          <t>ACUMULAR RTX | Score: 53/100 | Precio: $195.93 → Target: $202.83 (Upside: +4%) | FORTALEZAS: fuerte momentum (retorno 12M: 59.3%); baja volatilidad (beta 0.44, vol 27.3%) | DEBILIDADES: valoración cara (P/E 29.2x, EV/EBITDA 20.7x); baja calidad operativa (ROE bajo, márgenes débiles) | ESTRATEGIA: Ir acumulando gradualmente en debilidad</t>
        </is>
      </c>
    </row>
    <row r="86">
      <c r="A86" s="5" t="inlineStr">
        <is>
          <t>NU</t>
        </is>
      </c>
      <c r="B86" s="6" t="n">
        <v>18.04</v>
      </c>
      <c r="C86" s="6" t="n">
        <v>19.82</v>
      </c>
      <c r="D86" s="6" t="n">
        <v>9.9</v>
      </c>
      <c r="E86" s="11" t="n">
        <v>50</v>
      </c>
      <c r="F86" s="14" t="n">
        <v>88</v>
      </c>
      <c r="G86" s="11" t="n">
        <v>43</v>
      </c>
      <c r="H86" s="9" t="n">
        <v>32</v>
      </c>
      <c r="I86" s="11" t="n">
        <v>50</v>
      </c>
      <c r="J86" s="11" t="n">
        <v>50</v>
      </c>
      <c r="K86" s="35">
        <f>E86*0.105+F86*0.158+G86*0.421+H86*0.053+I86*0.137+J86*0.126</f>
        <v/>
      </c>
      <c r="L86" s="11" t="inlineStr">
        <is>
          <t>ACCUMULATE</t>
        </is>
      </c>
      <c r="M86" s="33" t="inlineStr">
        <is>
          <t>ACUMULAR NU | Score: 52/100 | Precio: $18.04 → Target: $19.82 (Upside: +10%) | FORTALEZAS: alta calidad (ROE 27.8%, margen 58.2%) | DEBILIDADES: alta volatilidad (beta 1.08, vol 44.5%) | ESTRATEGIA: Ir acumulando gradualmente en debilidad</t>
        </is>
      </c>
    </row>
    <row r="87">
      <c r="A87" s="5" t="inlineStr">
        <is>
          <t>SMFG</t>
        </is>
      </c>
      <c r="B87" s="6" t="n">
        <v>20.92</v>
      </c>
      <c r="C87" s="6" t="n">
        <v>23.47</v>
      </c>
      <c r="D87" s="24" t="n">
        <v>12.2</v>
      </c>
      <c r="E87" s="9" t="n">
        <v>36</v>
      </c>
      <c r="F87" s="15" t="n">
        <v>69</v>
      </c>
      <c r="G87" s="11" t="n">
        <v>48</v>
      </c>
      <c r="H87" s="14" t="n">
        <v>77</v>
      </c>
      <c r="I87" s="11" t="n">
        <v>50</v>
      </c>
      <c r="J87" s="11" t="n">
        <v>50</v>
      </c>
      <c r="K87" s="35">
        <f>E87*0.105+F87*0.158+G87*0.421+H87*0.053+I87*0.137+J87*0.126</f>
        <v/>
      </c>
      <c r="L87" s="11" t="inlineStr">
        <is>
          <t>ACCUMULATE</t>
        </is>
      </c>
      <c r="M87" s="33" t="inlineStr">
        <is>
          <t>ACUMULAR SMFG | Score: 52/100 | Precio: $20.92 → Target: $23.47 (Upside: +12%) | FORTALEZAS: alta calidad (ROE 4.8%, margen 49.3%); baja volatilidad (beta 0.16, vol 30.9%) | ESTRATEGIA: Ir acumulando gradualmente en debilidad</t>
        </is>
      </c>
    </row>
    <row r="88">
      <c r="A88" s="5" t="inlineStr">
        <is>
          <t>TSM</t>
        </is>
      </c>
      <c r="B88" s="6" t="n">
        <v>334.87</v>
      </c>
      <c r="C88" s="6" t="n">
        <v>419.81</v>
      </c>
      <c r="D88" s="24" t="n">
        <v>25.4</v>
      </c>
      <c r="E88" s="14" t="n">
        <v>77</v>
      </c>
      <c r="F88" s="14" t="n">
        <v>87</v>
      </c>
      <c r="G88" s="9" t="n">
        <v>37</v>
      </c>
      <c r="H88" s="17" t="n">
        <v>30</v>
      </c>
      <c r="I88" s="11" t="n">
        <v>50</v>
      </c>
      <c r="J88" s="11" t="n">
        <v>50</v>
      </c>
      <c r="K88" s="35">
        <f>E88*0.105+F88*0.158+G88*0.421+H88*0.053+I88*0.137+J88*0.126</f>
        <v/>
      </c>
      <c r="L88" s="11" t="inlineStr">
        <is>
          <t>ACCUMULATE</t>
        </is>
      </c>
      <c r="M88" s="33" t="inlineStr">
        <is>
          <t>ACUMULAR TSM | Score: 52/100 | Precio: $334.87 → Target: $419.81 (Upside: +25%) | FORTALEZAS: valoración atractiva (P/E 18.6x, EV/EBITDA 2.5x); alta calidad (ROE 35.2%, margen 53.8%) | DEBILIDADES: alta volatilidad (beta 1.27, vol 40.8%) | ESTRATEGIA: Largo plazo (value-quality) - empresa dominante a buen precio</t>
        </is>
      </c>
    </row>
    <row r="89">
      <c r="A89" s="5" t="inlineStr">
        <is>
          <t>MU</t>
        </is>
      </c>
      <c r="B89" s="6" t="n">
        <v>399.65</v>
      </c>
      <c r="C89" s="6" t="n">
        <v>354.21</v>
      </c>
      <c r="D89" s="31" t="n">
        <v>-11.4</v>
      </c>
      <c r="E89" s="11" t="n">
        <v>48</v>
      </c>
      <c r="F89" s="14" t="n">
        <v>72</v>
      </c>
      <c r="G89" s="11" t="n">
        <v>52</v>
      </c>
      <c r="H89" s="17" t="n">
        <v>11</v>
      </c>
      <c r="I89" s="11" t="n">
        <v>50</v>
      </c>
      <c r="J89" s="11" t="n">
        <v>50</v>
      </c>
      <c r="K89" s="35">
        <f>E89*0.105+F89*0.158+G89*0.421+H89*0.053+I89*0.137+J89*0.126</f>
        <v/>
      </c>
      <c r="L89" s="9" t="inlineStr">
        <is>
          <t>HOLD</t>
        </is>
      </c>
      <c r="M89" s="33" t="inlineStr">
        <is>
          <t>MANTENER MU | Score: 52/100 | Precio: $399.65 → Target: $354.21 (Upside: -11%) | FORTALEZAS: alta calidad (ROE 22.6%, margen 45.0%) | DEBILIDADES: alta volatilidad (beta 1.50, vol 63.5%)</t>
        </is>
      </c>
    </row>
    <row r="90">
      <c r="A90" s="5" t="inlineStr">
        <is>
          <t>KB</t>
        </is>
      </c>
      <c r="B90" s="6" t="n">
        <v>94.52</v>
      </c>
      <c r="C90" s="6" t="n">
        <v>113.58</v>
      </c>
      <c r="D90" s="24" t="n">
        <v>20.2</v>
      </c>
      <c r="E90" s="15" t="n">
        <v>64</v>
      </c>
      <c r="F90" s="11" t="n">
        <v>43</v>
      </c>
      <c r="G90" s="11" t="n">
        <v>53</v>
      </c>
      <c r="H90" s="11" t="n">
        <v>55</v>
      </c>
      <c r="I90" s="11" t="n">
        <v>50</v>
      </c>
      <c r="J90" s="11" t="n">
        <v>50</v>
      </c>
      <c r="K90" s="35">
        <f>E90*0.105+F90*0.158+G90*0.421+H90*0.053+I90*0.137+J90*0.126</f>
        <v/>
      </c>
      <c r="L90" s="11" t="inlineStr">
        <is>
          <t>ACCUMULATE</t>
        </is>
      </c>
      <c r="M90" s="33" t="inlineStr">
        <is>
          <t>ACUMULAR KB | Score: 52/100 | Precio: $94.52 → Target: $113.58 (Upside: +20%) | ESTRATEGIA: Ir acumulando gradualmente en debilidad</t>
        </is>
      </c>
    </row>
    <row r="91">
      <c r="A91" s="5" t="inlineStr">
        <is>
          <t>COST</t>
        </is>
      </c>
      <c r="B91" s="6" t="n">
        <v>983.25</v>
      </c>
      <c r="C91" s="6" t="n">
        <v>1030.19</v>
      </c>
      <c r="D91" s="6" t="n">
        <v>4.8</v>
      </c>
      <c r="E91" s="17" t="n">
        <v>20</v>
      </c>
      <c r="F91" s="11" t="n">
        <v>58</v>
      </c>
      <c r="G91" s="11" t="n">
        <v>55</v>
      </c>
      <c r="H91" s="15" t="n">
        <v>67</v>
      </c>
      <c r="I91" s="11" t="n">
        <v>50</v>
      </c>
      <c r="J91" s="11" t="n">
        <v>50</v>
      </c>
      <c r="K91" s="35">
        <f>E91*0.105+F91*0.158+G91*0.421+H91*0.053+I91*0.137+J91*0.126</f>
        <v/>
      </c>
      <c r="L91" s="11" t="inlineStr">
        <is>
          <t>ACCUMULATE</t>
        </is>
      </c>
      <c r="M91" s="33" t="inlineStr">
        <is>
          <t>ACUMULAR COST | Score: 51/100 | Precio: $983.25 → Target: $1030.19 (Upside: +5%) | FORTALEZAS: baja volatilidad (beta 1.01, vol 22.1%) | DEBILIDADES: valoración cara (P/E 44.3x, EV/EBITDA 32.6x) | ESTRATEGIA: Ir acumulando gradualmente en debilidad</t>
        </is>
      </c>
    </row>
    <row r="92">
      <c r="A92" s="5" t="inlineStr">
        <is>
          <t>NFLX</t>
        </is>
      </c>
      <c r="B92" s="6" t="n">
        <v>86.12</v>
      </c>
      <c r="C92" s="6" t="n">
        <v>112.77</v>
      </c>
      <c r="D92" s="24" t="n">
        <v>30.9</v>
      </c>
      <c r="E92" s="11" t="n">
        <v>45</v>
      </c>
      <c r="F92" s="15" t="n">
        <v>68</v>
      </c>
      <c r="G92" s="11" t="n">
        <v>50</v>
      </c>
      <c r="H92" s="17" t="n">
        <v>29</v>
      </c>
      <c r="I92" s="11" t="n">
        <v>50</v>
      </c>
      <c r="J92" s="11" t="n">
        <v>50</v>
      </c>
      <c r="K92" s="35">
        <f>E92*0.105+F92*0.158+G92*0.421+H92*0.053+I92*0.137+J92*0.126</f>
        <v/>
      </c>
      <c r="L92" s="11" t="inlineStr">
        <is>
          <t>ACCUMULATE</t>
        </is>
      </c>
      <c r="M92" s="33" t="inlineStr">
        <is>
          <t>ACUMULAR NFLX | Score: 51/100 | Precio: $86.12 → Target: $112.77 (Upside: +31%) | FORTALEZAS: alta calidad (ROE 42.8%, margen 24.5%) | DEBILIDADES: alta volatilidad (beta 1.71, vol 32.4%) | ESTRATEGIA: Ir acumulando gradualmente en debilidad</t>
        </is>
      </c>
    </row>
    <row r="93">
      <c r="A93" s="5" t="inlineStr">
        <is>
          <t>LMT</t>
        </is>
      </c>
      <c r="B93" s="6" t="n">
        <v>590.8200000000001</v>
      </c>
      <c r="C93" s="6" t="n">
        <v>569.6799999999999</v>
      </c>
      <c r="D93" s="31" t="n">
        <v>-3.6</v>
      </c>
      <c r="E93" s="11" t="n">
        <v>44</v>
      </c>
      <c r="F93" s="11" t="n">
        <v>48</v>
      </c>
      <c r="G93" s="11" t="n">
        <v>50</v>
      </c>
      <c r="H93" s="14" t="n">
        <v>81</v>
      </c>
      <c r="I93" s="11" t="n">
        <v>50</v>
      </c>
      <c r="J93" s="11" t="n">
        <v>50</v>
      </c>
      <c r="K93" s="35">
        <f>E93*0.105+F93*0.158+G93*0.421+H93*0.053+I93*0.137+J93*0.126</f>
        <v/>
      </c>
      <c r="L93" s="9" t="inlineStr">
        <is>
          <t>HOLD</t>
        </is>
      </c>
      <c r="M93" s="33" t="inlineStr">
        <is>
          <t>MANTENER LMT | Score: 51/100 | Precio: $590.82 → Target: $569.68 (Upside: -4%) | FORTALEZAS: baja volatilidad (beta 0.24, vol 27.6%)</t>
        </is>
      </c>
    </row>
    <row r="94">
      <c r="A94" s="5" t="inlineStr">
        <is>
          <t>BP</t>
        </is>
      </c>
      <c r="B94" s="6" t="n">
        <v>36.53</v>
      </c>
      <c r="C94" s="6" t="n">
        <v>38.73</v>
      </c>
      <c r="D94" s="6" t="n">
        <v>6</v>
      </c>
      <c r="E94" s="15" t="n">
        <v>63</v>
      </c>
      <c r="F94" s="17" t="n">
        <v>25</v>
      </c>
      <c r="G94" s="11" t="n">
        <v>54</v>
      </c>
      <c r="H94" s="14" t="n">
        <v>81</v>
      </c>
      <c r="I94" s="11" t="n">
        <v>50</v>
      </c>
      <c r="J94" s="11" t="n">
        <v>50</v>
      </c>
      <c r="K94" s="35">
        <f>E94*0.105+F94*0.158+G94*0.421+H94*0.053+I94*0.137+J94*0.126</f>
        <v/>
      </c>
      <c r="L94" s="11" t="inlineStr">
        <is>
          <t>ACCUMULATE</t>
        </is>
      </c>
      <c r="M94" s="33" t="inlineStr">
        <is>
          <t>ACUMULAR BP | Score: 51/100 | Precio: $36.53 → Target: $38.73 (Upside: +6%) | FORTALEZAS: baja volatilidad (beta 0.03, vol 29.3%) | DEBILIDADES: baja calidad operativa (ROE bajo, márgenes débiles) | ESTRATEGIA: Ir acumulando gradualmente en debilidad</t>
        </is>
      </c>
    </row>
    <row r="95">
      <c r="A95" s="5" t="inlineStr">
        <is>
          <t>BA</t>
        </is>
      </c>
      <c r="B95" s="6" t="n">
        <v>252.15</v>
      </c>
      <c r="C95" s="6" t="n">
        <v>258.04</v>
      </c>
      <c r="D95" s="6" t="n">
        <v>2.3</v>
      </c>
      <c r="E95" s="9" t="n">
        <v>36</v>
      </c>
      <c r="F95" s="9" t="n">
        <v>35</v>
      </c>
      <c r="G95" s="15" t="n">
        <v>61</v>
      </c>
      <c r="H95" s="9" t="n">
        <v>36</v>
      </c>
      <c r="I95" s="11" t="n">
        <v>50</v>
      </c>
      <c r="J95" s="11" t="n">
        <v>50</v>
      </c>
      <c r="K95" s="35">
        <f>E95*0.105+F95*0.158+G95*0.421+H95*0.053+I95*0.137+J95*0.126</f>
        <v/>
      </c>
      <c r="L95" s="11" t="inlineStr">
        <is>
          <t>ACCUMULATE</t>
        </is>
      </c>
      <c r="M95" s="33" t="inlineStr">
        <is>
          <t>ACUMULAR BA | Score: 50/100 | Precio: $252.15 → Target: $258.04 (Upside: +2%) | DEBILIDADES: baja calidad operativa (ROE bajo, márgenes débiles) | ESTRATEGIA: Ir acumulando gradualmente en debilidad</t>
        </is>
      </c>
    </row>
    <row r="96">
      <c r="A96" s="5" t="inlineStr">
        <is>
          <t>NVDA</t>
        </is>
      </c>
      <c r="B96" s="6" t="n">
        <v>187.67</v>
      </c>
      <c r="C96" s="6" t="n">
        <v>253.19</v>
      </c>
      <c r="D96" s="24" t="n">
        <v>34.9</v>
      </c>
      <c r="E96" s="17" t="n">
        <v>25</v>
      </c>
      <c r="F96" s="14" t="n">
        <v>91</v>
      </c>
      <c r="G96" s="17" t="n">
        <v>29</v>
      </c>
      <c r="H96" s="17" t="n">
        <v>14</v>
      </c>
      <c r="I96" s="14" t="n">
        <v>100</v>
      </c>
      <c r="J96" s="11" t="n">
        <v>50</v>
      </c>
      <c r="K96" s="35">
        <f>E96*0.105+F96*0.158+G96*0.421+H96*0.053+I96*0.137+J96*0.126</f>
        <v/>
      </c>
      <c r="L96" s="9" t="inlineStr">
        <is>
          <t>HOLD</t>
        </is>
      </c>
      <c r="M96" s="33" t="inlineStr">
        <is>
          <t>MANTENER NVDA | Score: 50/100 | Precio: $187.67 → Target: $253.19 (Upside: +35%) | FORTALEZAS: alta calidad (ROE 107.4%, margen 63.2%); congresistas comprando recientemente | DEBILIDADES: valoración cara (P/E 24.5x, EV/EBITDA 40.0x); momentum débil (retorno 12M: 31.6%); alta volatilidad (beta 2.31, vol 48.5%)</t>
        </is>
      </c>
    </row>
    <row r="97">
      <c r="A97" s="5" t="inlineStr">
        <is>
          <t>ABBNY</t>
        </is>
      </c>
      <c r="B97" s="6" t="n">
        <v>76.44</v>
      </c>
      <c r="C97" s="6" t="n">
        <v>65.25</v>
      </c>
      <c r="D97" s="31" t="n">
        <v>-14.6</v>
      </c>
      <c r="E97" s="9" t="n">
        <v>35</v>
      </c>
      <c r="F97" s="11" t="n">
        <v>59</v>
      </c>
      <c r="G97" s="11" t="n">
        <v>47</v>
      </c>
      <c r="H97" s="15" t="n">
        <v>67</v>
      </c>
      <c r="I97" s="11" t="n">
        <v>50</v>
      </c>
      <c r="J97" s="11" t="n">
        <v>50</v>
      </c>
      <c r="K97" s="35">
        <f>E97*0.105+F97*0.158+G97*0.421+H97*0.053+I97*0.137+J97*0.126</f>
        <v/>
      </c>
      <c r="L97" s="9" t="inlineStr">
        <is>
          <t>HOLD</t>
        </is>
      </c>
      <c r="M97" s="33" t="inlineStr">
        <is>
          <t>MANTENER ABBNY | Score: 50/100 | Precio: $76.44 → Target: $65.25 (Upside: -15%) | FORTALEZAS: baja volatilidad (beta 0.85, vol 25.7%)</t>
        </is>
      </c>
    </row>
    <row r="98">
      <c r="A98" s="5" t="inlineStr">
        <is>
          <t>TECK</t>
        </is>
      </c>
      <c r="B98" s="6" t="n">
        <v>53.01</v>
      </c>
      <c r="C98" s="6" t="n">
        <v>47.51</v>
      </c>
      <c r="D98" s="31" t="n">
        <v>-10.4</v>
      </c>
      <c r="E98" s="9" t="n">
        <v>39</v>
      </c>
      <c r="F98" s="17" t="n">
        <v>28</v>
      </c>
      <c r="G98" s="15" t="n">
        <v>64</v>
      </c>
      <c r="H98" s="17" t="n">
        <v>19</v>
      </c>
      <c r="I98" s="11" t="n">
        <v>50</v>
      </c>
      <c r="J98" s="11" t="n">
        <v>50</v>
      </c>
      <c r="K98" s="35">
        <f>E98*0.105+F98*0.158+G98*0.421+H98*0.053+I98*0.137+J98*0.126</f>
        <v/>
      </c>
      <c r="L98" s="9" t="inlineStr">
        <is>
          <t>HOLD</t>
        </is>
      </c>
      <c r="M98" s="33" t="inlineStr">
        <is>
          <t>MANTENER TECK | Score: 50/100 | Precio: $53.01 → Target: $47.51 (Upside: -10%) | DEBILIDADES: baja calidad operativa (ROE bajo, márgenes débiles); alta volatilidad (beta 1.54, vol 47.1%)</t>
        </is>
      </c>
    </row>
    <row r="99">
      <c r="A99" s="5" t="inlineStr">
        <is>
          <t>DIS</t>
        </is>
      </c>
      <c r="B99" s="6" t="n">
        <v>110.98</v>
      </c>
      <c r="C99" s="6" t="n">
        <v>132.2</v>
      </c>
      <c r="D99" s="24" t="n">
        <v>19.1</v>
      </c>
      <c r="E99" s="15" t="n">
        <v>63</v>
      </c>
      <c r="F99" s="9" t="n">
        <v>32</v>
      </c>
      <c r="G99" s="11" t="n">
        <v>54</v>
      </c>
      <c r="H99" s="9" t="n">
        <v>39</v>
      </c>
      <c r="I99" s="11" t="n">
        <v>50</v>
      </c>
      <c r="J99" s="11" t="n">
        <v>50</v>
      </c>
      <c r="K99" s="35">
        <f>E99*0.105+F99*0.158+G99*0.421+H99*0.053+I99*0.137+J99*0.126</f>
        <v/>
      </c>
      <c r="L99" s="9" t="inlineStr">
        <is>
          <t>HOLD</t>
        </is>
      </c>
      <c r="M99" s="33" t="inlineStr">
        <is>
          <t>MANTENER DIS | Score: 50/100 | Precio: $110.98 → Target: $132.20 (Upside: +19%) | DEBILIDADES: baja calidad operativa (ROE bajo, márgenes débiles)</t>
        </is>
      </c>
    </row>
    <row r="100">
      <c r="A100" s="5" t="inlineStr">
        <is>
          <t>TOELY</t>
        </is>
      </c>
      <c r="B100" s="6" t="n">
        <v>132.8</v>
      </c>
      <c r="C100" s="6" t="n"/>
      <c r="D100" s="6" t="n">
        <v>0</v>
      </c>
      <c r="E100" s="15" t="n">
        <v>67</v>
      </c>
      <c r="F100" s="14" t="n">
        <v>70</v>
      </c>
      <c r="G100" s="11" t="n">
        <v>40</v>
      </c>
      <c r="H100" s="17" t="n">
        <v>25</v>
      </c>
      <c r="I100" s="11" t="n">
        <v>50</v>
      </c>
      <c r="J100" s="11" t="n">
        <v>50</v>
      </c>
      <c r="K100" s="35">
        <f>E100*0.105+F100*0.158+G100*0.421+H100*0.053+I100*0.137+J100*0.126</f>
        <v/>
      </c>
      <c r="L100" s="9" t="inlineStr">
        <is>
          <t>HOLD</t>
        </is>
      </c>
      <c r="M100" s="33" t="inlineStr">
        <is>
          <t>MANTENER TOELY | Score: 50/100 | FORTALEZAS: valoración atractiva (EV/EBITDA -0.5x); alta calidad (ROE 28.5%, margen 25.1%) | DEBILIDADES: alta volatilidad (beta 1.24, vol 48.5%) | ESTRATEGIA: Largo plazo (value-quality) - empresa dominante a buen precio</t>
        </is>
      </c>
    </row>
    <row r="101">
      <c r="A101" s="5" t="inlineStr">
        <is>
          <t>BNTX</t>
        </is>
      </c>
      <c r="B101" s="6" t="n">
        <v>115.98</v>
      </c>
      <c r="C101" s="6" t="n">
        <v>140.82</v>
      </c>
      <c r="D101" s="24" t="n">
        <v>21.4</v>
      </c>
      <c r="E101" s="15" t="n">
        <v>68</v>
      </c>
      <c r="F101" s="17" t="n">
        <v>21</v>
      </c>
      <c r="G101" s="11" t="n">
        <v>58</v>
      </c>
      <c r="H101" s="17" t="n">
        <v>21</v>
      </c>
      <c r="I101" s="11" t="n">
        <v>50</v>
      </c>
      <c r="J101" s="11" t="n">
        <v>50</v>
      </c>
      <c r="K101" s="35">
        <f>E101*0.105+F101*0.158+G101*0.421+H101*0.053+I101*0.137+J101*0.126</f>
        <v/>
      </c>
      <c r="L101" s="9" t="inlineStr">
        <is>
          <t>HOLD</t>
        </is>
      </c>
      <c r="M101" s="33" t="inlineStr">
        <is>
          <t>MANTENER BNTX | Score: 49/100 | Precio: $115.98 → Target: $140.82 (Upside: +21%) | FORTALEZAS: valoración atractiva (P/E -41.2x, EV/EBITDA -29.1x) | DEBILIDADES: baja calidad operativa (ROE bajo, márgenes débiles); alta volatilidad (beta 1.41, vol 48.9%)</t>
        </is>
      </c>
    </row>
    <row r="102">
      <c r="A102" s="5" t="inlineStr">
        <is>
          <t>AES</t>
        </is>
      </c>
      <c r="B102" s="6" t="n">
        <v>14.25</v>
      </c>
      <c r="C102" s="6" t="n">
        <v>15.21</v>
      </c>
      <c r="D102" s="6" t="n">
        <v>6.7</v>
      </c>
      <c r="E102" s="11" t="n">
        <v>51</v>
      </c>
      <c r="F102" s="17" t="n">
        <v>24</v>
      </c>
      <c r="G102" s="11" t="n">
        <v>60</v>
      </c>
      <c r="H102" s="9" t="n">
        <v>34</v>
      </c>
      <c r="I102" s="11" t="n">
        <v>50</v>
      </c>
      <c r="J102" s="11" t="n">
        <v>50</v>
      </c>
      <c r="K102" s="35">
        <f>E102*0.105+F102*0.158+G102*0.421+H102*0.053+I102*0.137+J102*0.126</f>
        <v/>
      </c>
      <c r="L102" s="9" t="inlineStr">
        <is>
          <t>HOLD</t>
        </is>
      </c>
      <c r="M102" s="33" t="inlineStr">
        <is>
          <t>MANTENER AES | Score: 49/100 | Precio: $14.25 → Target: $15.21 (Upside: +7%) | DEBILIDADES: baja calidad operativa (ROE bajo, márgenes débiles); alta volatilidad (beta 0.97, vol 49.2%)</t>
        </is>
      </c>
    </row>
    <row r="103">
      <c r="A103" s="5" t="inlineStr">
        <is>
          <t>DEO</t>
        </is>
      </c>
      <c r="B103" s="6" t="n">
        <v>91.48999999999999</v>
      </c>
      <c r="C103" s="6" t="n">
        <v>104.86</v>
      </c>
      <c r="D103" s="24" t="n">
        <v>14.6</v>
      </c>
      <c r="E103" s="11" t="n">
        <v>48</v>
      </c>
      <c r="F103" s="11" t="n">
        <v>46</v>
      </c>
      <c r="G103" s="11" t="n">
        <v>46</v>
      </c>
      <c r="H103" s="14" t="n">
        <v>85</v>
      </c>
      <c r="I103" s="11" t="n">
        <v>50</v>
      </c>
      <c r="J103" s="11" t="n">
        <v>50</v>
      </c>
      <c r="K103" s="35">
        <f>E103*0.105+F103*0.158+G103*0.421+H103*0.053+I103*0.137+J103*0.126</f>
        <v/>
      </c>
      <c r="L103" s="9" t="inlineStr">
        <is>
          <t>HOLD</t>
        </is>
      </c>
      <c r="M103" s="33" t="inlineStr">
        <is>
          <t>MANTENER DEO | Score: 49/100 | Precio: $91.49 → Target: $104.86 (Upside: +15%) | FORTALEZAS: baja volatilidad (beta 0.15, vol 26.9%)</t>
        </is>
      </c>
    </row>
    <row r="104">
      <c r="A104" s="5" t="inlineStr">
        <is>
          <t>SPOT</t>
        </is>
      </c>
      <c r="B104" s="6" t="n">
        <v>513.21</v>
      </c>
      <c r="C104" s="6" t="n">
        <v>735.1900000000001</v>
      </c>
      <c r="D104" s="24" t="n">
        <v>43.3</v>
      </c>
      <c r="E104" s="17" t="n">
        <v>16</v>
      </c>
      <c r="F104" s="15" t="n">
        <v>63</v>
      </c>
      <c r="G104" s="11" t="n">
        <v>56</v>
      </c>
      <c r="H104" s="17" t="n">
        <v>19</v>
      </c>
      <c r="I104" s="11" t="n">
        <v>50</v>
      </c>
      <c r="J104" s="11" t="n">
        <v>50</v>
      </c>
      <c r="K104" s="35">
        <f>E104*0.105+F104*0.158+G104*0.421+H104*0.053+I104*0.137+J104*0.126</f>
        <v/>
      </c>
      <c r="L104" s="9" t="inlineStr">
        <is>
          <t>HOLD</t>
        </is>
      </c>
      <c r="M104" s="33" t="inlineStr">
        <is>
          <t>MANTENER SPOT | Score: 49/100 | Precio: $513.21 → Target: $735.19 (Upside: +43%) | DEBILIDADES: valoración cara (P/E 35.5x, EV/EBITDA 49.3x); alta volatilidad (beta 1.66, vol 44.0%)</t>
        </is>
      </c>
    </row>
    <row r="105">
      <c r="A105" s="5" t="inlineStr">
        <is>
          <t>ATLKY</t>
        </is>
      </c>
      <c r="B105" s="6" t="n">
        <v>21.29</v>
      </c>
      <c r="C105" s="6" t="n">
        <v>23</v>
      </c>
      <c r="D105" s="6" t="n">
        <v>8</v>
      </c>
      <c r="E105" s="11" t="n">
        <v>53</v>
      </c>
      <c r="F105" s="11" t="n">
        <v>57</v>
      </c>
      <c r="G105" s="11" t="n">
        <v>45</v>
      </c>
      <c r="H105" s="11" t="n">
        <v>46</v>
      </c>
      <c r="I105" s="11" t="n">
        <v>50</v>
      </c>
      <c r="J105" s="11" t="n">
        <v>50</v>
      </c>
      <c r="K105" s="35">
        <f>E105*0.105+F105*0.158+G105*0.421+H105*0.053+I105*0.137+J105*0.126</f>
        <v/>
      </c>
      <c r="L105" s="9" t="inlineStr">
        <is>
          <t>HOLD</t>
        </is>
      </c>
      <c r="M105" s="33" t="inlineStr">
        <is>
          <t>MANTENER ATLKY | Score: 49/100 | Precio: $21.29 → Target: $23.00 (Upside: +8%)</t>
        </is>
      </c>
    </row>
    <row r="106">
      <c r="A106" s="5" t="inlineStr">
        <is>
          <t>NEE</t>
        </is>
      </c>
      <c r="B106" s="6" t="n">
        <v>84.81</v>
      </c>
      <c r="C106" s="6" t="n">
        <v>91.42</v>
      </c>
      <c r="D106" s="6" t="n">
        <v>7.8</v>
      </c>
      <c r="E106" s="9" t="n">
        <v>31</v>
      </c>
      <c r="F106" s="9" t="n">
        <v>33</v>
      </c>
      <c r="G106" s="11" t="n">
        <v>55</v>
      </c>
      <c r="H106" s="15" t="n">
        <v>69</v>
      </c>
      <c r="I106" s="11" t="n">
        <v>50</v>
      </c>
      <c r="J106" s="11" t="n">
        <v>50</v>
      </c>
      <c r="K106" s="35">
        <f>E106*0.105+F106*0.158+G106*0.421+H106*0.053+I106*0.137+J106*0.126</f>
        <v/>
      </c>
      <c r="L106" s="9" t="inlineStr">
        <is>
          <t>HOLD</t>
        </is>
      </c>
      <c r="M106" s="33" t="inlineStr">
        <is>
          <t>MANTENER NEE | Score: 49/100 | Precio: $84.81 → Target: $91.42 (Upside: +8%) | FORTALEZAS: baja volatilidad (beta 0.73, vol 26.8%) | DEBILIDADES: valoración cara (P/E 21.1x, EV/EBITDA 19.2x); baja calidad operativa (ROE bajo, márgenes débiles)</t>
        </is>
      </c>
    </row>
    <row r="107">
      <c r="A107" s="5" t="inlineStr">
        <is>
          <t>COP</t>
        </is>
      </c>
      <c r="B107" s="6" t="n">
        <v>98.34999999999999</v>
      </c>
      <c r="C107" s="6" t="n">
        <v>112.96</v>
      </c>
      <c r="D107" s="24" t="n">
        <v>14.9</v>
      </c>
      <c r="E107" s="15" t="n">
        <v>67</v>
      </c>
      <c r="F107" s="11" t="n">
        <v>49</v>
      </c>
      <c r="G107" s="11" t="n">
        <v>40</v>
      </c>
      <c r="H107" s="15" t="n">
        <v>64</v>
      </c>
      <c r="I107" s="11" t="n">
        <v>50</v>
      </c>
      <c r="J107" s="11" t="n">
        <v>50</v>
      </c>
      <c r="K107" s="35">
        <f>E107*0.105+F107*0.158+G107*0.421+H107*0.053+I107*0.137+J107*0.126</f>
        <v/>
      </c>
      <c r="L107" s="9" t="inlineStr">
        <is>
          <t>HOLD</t>
        </is>
      </c>
      <c r="M107" s="33" t="inlineStr">
        <is>
          <t>MANTENER COP | Score: 48/100 | Precio: $98.35 → Target: $112.96 (Upside: +15%) | FORTALEZAS: valoración atractiva (P/E 18.7x, EV/EBITDA 5.5x)</t>
        </is>
      </c>
    </row>
    <row r="108">
      <c r="A108" s="5" t="inlineStr">
        <is>
          <t>UBS</t>
        </is>
      </c>
      <c r="B108" s="6" t="n">
        <v>47.55</v>
      </c>
      <c r="C108" s="6" t="n">
        <v>49.31</v>
      </c>
      <c r="D108" s="6" t="n">
        <v>3.7</v>
      </c>
      <c r="E108" s="11" t="n">
        <v>57</v>
      </c>
      <c r="F108" s="17" t="n">
        <v>26</v>
      </c>
      <c r="G108" s="11" t="n">
        <v>52</v>
      </c>
      <c r="H108" s="11" t="n">
        <v>55</v>
      </c>
      <c r="I108" s="11" t="n">
        <v>50</v>
      </c>
      <c r="J108" s="11" t="n">
        <v>50</v>
      </c>
      <c r="K108" s="35">
        <f>E108*0.105+F108*0.158+G108*0.421+H108*0.053+I108*0.137+J108*0.126</f>
        <v/>
      </c>
      <c r="L108" s="9" t="inlineStr">
        <is>
          <t>HOLD</t>
        </is>
      </c>
      <c r="M108" s="33" t="inlineStr">
        <is>
          <t>MANTENER UBS | Score: 48/100 | Precio: $47.55 → Target: $49.31 (Upside: +4%) | DEBILIDADES: baja calidad operativa (ROE bajo, márgenes débiles)</t>
        </is>
      </c>
    </row>
    <row r="109">
      <c r="A109" s="5" t="inlineStr">
        <is>
          <t>CVX</t>
        </is>
      </c>
      <c r="B109" s="6" t="n">
        <v>166.72</v>
      </c>
      <c r="C109" s="6" t="n">
        <v>175.78</v>
      </c>
      <c r="D109" s="6" t="n">
        <v>5.4</v>
      </c>
      <c r="E109" s="11" t="n">
        <v>57</v>
      </c>
      <c r="F109" s="9" t="n">
        <v>31</v>
      </c>
      <c r="G109" s="11" t="n">
        <v>49</v>
      </c>
      <c r="H109" s="14" t="n">
        <v>72</v>
      </c>
      <c r="I109" s="11" t="n">
        <v>50</v>
      </c>
      <c r="J109" s="11" t="n">
        <v>50</v>
      </c>
      <c r="K109" s="35">
        <f>E109*0.105+F109*0.158+G109*0.421+H109*0.053+I109*0.137+J109*0.126</f>
        <v/>
      </c>
      <c r="L109" s="9" t="inlineStr">
        <is>
          <t>HOLD</t>
        </is>
      </c>
      <c r="M109" s="33" t="inlineStr">
        <is>
          <t>MANTENER CVX | Score: 48/100 | Precio: $166.72 → Target: $175.78 (Upside: +5%) | FORTALEZAS: baja volatilidad (beta 0.69, vol 25.2%) | DEBILIDADES: baja calidad operativa (ROE bajo, márgenes débiles)</t>
        </is>
      </c>
    </row>
    <row r="110">
      <c r="A110" s="5" t="inlineStr">
        <is>
          <t>NTDOY</t>
        </is>
      </c>
      <c r="B110" s="6" t="n">
        <v>16.67</v>
      </c>
      <c r="C110" s="6" t="n">
        <v>35</v>
      </c>
      <c r="D110" s="24" t="n">
        <v>110</v>
      </c>
      <c r="E110" s="14" t="n">
        <v>93</v>
      </c>
      <c r="F110" s="11" t="n">
        <v>59</v>
      </c>
      <c r="G110" s="17" t="n">
        <v>30</v>
      </c>
      <c r="H110" s="15" t="n">
        <v>63</v>
      </c>
      <c r="I110" s="11" t="n">
        <v>50</v>
      </c>
      <c r="J110" s="11" t="n">
        <v>50</v>
      </c>
      <c r="K110" s="35">
        <f>E110*0.105+F110*0.158+G110*0.421+H110*0.053+I110*0.137+J110*0.126</f>
        <v/>
      </c>
      <c r="L110" s="9" t="inlineStr">
        <is>
          <t>HOLD</t>
        </is>
      </c>
      <c r="M110" s="33" t="inlineStr">
        <is>
          <t>MANTENER NTDOY | Score: 48/100 | Precio: $16.67 → Target: $35.00 (Upside: +110%) | FORTALEZAS: valoración atractiva (P/E 7.8x, EV/EBITDA -6.5x) | DEBILIDADES: momentum débil (retorno 12M: 6.0%)</t>
        </is>
      </c>
    </row>
    <row r="111">
      <c r="A111" s="5" t="inlineStr">
        <is>
          <t>EQIX</t>
        </is>
      </c>
      <c r="B111" s="6" t="n">
        <v>791.27</v>
      </c>
      <c r="C111" s="6" t="n">
        <v>959.12</v>
      </c>
      <c r="D111" s="24" t="n">
        <v>21.2</v>
      </c>
      <c r="E111" s="9" t="n">
        <v>34</v>
      </c>
      <c r="F111" s="17" t="n">
        <v>29</v>
      </c>
      <c r="G111" s="11" t="n">
        <v>56</v>
      </c>
      <c r="H111" s="11" t="n">
        <v>58</v>
      </c>
      <c r="I111" s="11" t="n">
        <v>50</v>
      </c>
      <c r="J111" s="11" t="n">
        <v>50</v>
      </c>
      <c r="K111" s="35">
        <f>E111*0.105+F111*0.158+G111*0.421+H111*0.053+I111*0.137+J111*0.126</f>
        <v/>
      </c>
      <c r="L111" s="9" t="inlineStr">
        <is>
          <t>HOLD</t>
        </is>
      </c>
      <c r="M111" s="33" t="inlineStr">
        <is>
          <t>MANTENER EQIX | Score: 48/100 | Precio: $791.27 → Target: $959.12 (Upside: +21%) | DEBILIDADES: valoración cara (P/E 51.9x, EV/EBITDA 24.8x); baja calidad operativa (ROE bajo, márgenes débiles)</t>
        </is>
      </c>
    </row>
    <row r="112">
      <c r="A112" s="5" t="inlineStr">
        <is>
          <t>PLTR</t>
        </is>
      </c>
      <c r="B112" s="6" t="n">
        <v>169.6</v>
      </c>
      <c r="C112" s="6" t="n">
        <v>190.25</v>
      </c>
      <c r="D112" s="24" t="n">
        <v>12.2</v>
      </c>
      <c r="E112" s="17" t="n">
        <v>7</v>
      </c>
      <c r="F112" s="14" t="n">
        <v>75</v>
      </c>
      <c r="G112" s="11" t="n">
        <v>50</v>
      </c>
      <c r="H112" s="17" t="n">
        <v>9</v>
      </c>
      <c r="I112" s="11" t="n">
        <v>50</v>
      </c>
      <c r="J112" s="11" t="n">
        <v>50</v>
      </c>
      <c r="K112" s="35">
        <f>E112*0.105+F112*0.158+G112*0.421+H112*0.053+I112*0.137+J112*0.126</f>
        <v/>
      </c>
      <c r="L112" s="9" t="inlineStr">
        <is>
          <t>HOLD</t>
        </is>
      </c>
      <c r="M112" s="33" t="inlineStr">
        <is>
          <t>MANTENER PLTR | Score: 47/100 | Precio: $169.60 → Target: $190.25 (Upside: +12%) | FORTALEZAS: alta calidad (ROE 19.5%, margen 33.3%) | DEBILIDADES: valoración cara (P/E 167.6x, EV/EBITDA 454.6x); alta volatilidad (beta 1.54, vol 66.3%)</t>
        </is>
      </c>
    </row>
    <row r="113">
      <c r="A113" s="5" t="inlineStr">
        <is>
          <t>ASML</t>
        </is>
      </c>
      <c r="B113" s="6" t="n">
        <v>1389.04</v>
      </c>
      <c r="C113" s="6" t="n">
        <v>1347.6</v>
      </c>
      <c r="D113" s="31" t="n">
        <v>-3</v>
      </c>
      <c r="E113" s="17" t="n">
        <v>19</v>
      </c>
      <c r="F113" s="14" t="n">
        <v>79</v>
      </c>
      <c r="G113" s="11" t="n">
        <v>43</v>
      </c>
      <c r="H113" s="17" t="n">
        <v>27</v>
      </c>
      <c r="I113" s="11" t="n">
        <v>50</v>
      </c>
      <c r="J113" s="11" t="n">
        <v>50</v>
      </c>
      <c r="K113" s="35">
        <f>E113*0.105+F113*0.158+G113*0.421+H113*0.053+I113*0.137+J113*0.126</f>
        <v/>
      </c>
      <c r="L113" s="9" t="inlineStr">
        <is>
          <t>HOLD</t>
        </is>
      </c>
      <c r="M113" s="33" t="inlineStr">
        <is>
          <t>MANTENER ASML | Score: 47/100 | Precio: $1389.04 → Target: $1347.60 (Upside: -3%) | FORTALEZAS: alta calidad (ROE 53.9%, margen 32.8%) | DEBILIDADES: valoración cara (P/E 43.0x, EV/EBITDA 44.0x); alta volatilidad (beta 1.34, vol 41.3%)</t>
        </is>
      </c>
    </row>
    <row r="114">
      <c r="A114" s="5" t="inlineStr">
        <is>
          <t>CEMEX</t>
        </is>
      </c>
      <c r="B114" s="6" t="n">
        <v>17.79</v>
      </c>
      <c r="C114" s="6" t="n"/>
      <c r="D114" s="6" t="n">
        <v>0</v>
      </c>
      <c r="E114" s="11" t="n">
        <v>50</v>
      </c>
      <c r="F114" s="11" t="n">
        <v>50</v>
      </c>
      <c r="G114" s="11" t="n">
        <v>40</v>
      </c>
      <c r="H114" s="14" t="n">
        <v>71</v>
      </c>
      <c r="I114" s="11" t="n">
        <v>50</v>
      </c>
      <c r="J114" s="11" t="n">
        <v>50</v>
      </c>
      <c r="K114" s="35">
        <f>E114*0.105+F114*0.158+G114*0.421+H114*0.053+I114*0.137+J114*0.126</f>
        <v/>
      </c>
      <c r="L114" s="9" t="inlineStr">
        <is>
          <t>HOLD</t>
        </is>
      </c>
      <c r="M114" s="33" t="inlineStr">
        <is>
          <t>MANTENER CEMEX | Score: 47/100 | FORTALEZAS: baja volatilidad (beta 1.00, vol 8.5%)</t>
        </is>
      </c>
    </row>
    <row r="115">
      <c r="A115" s="5" t="inlineStr">
        <is>
          <t>DLR</t>
        </is>
      </c>
      <c r="B115" s="6" t="n">
        <v>159.16</v>
      </c>
      <c r="C115" s="6" t="n">
        <v>195.04</v>
      </c>
      <c r="D115" s="24" t="n">
        <v>22.5</v>
      </c>
      <c r="E115" s="9" t="n">
        <v>31</v>
      </c>
      <c r="F115" s="17" t="n">
        <v>20</v>
      </c>
      <c r="G115" s="11" t="n">
        <v>58</v>
      </c>
      <c r="H115" s="11" t="n">
        <v>54</v>
      </c>
      <c r="I115" s="11" t="n">
        <v>50</v>
      </c>
      <c r="J115" s="11" t="n">
        <v>50</v>
      </c>
      <c r="K115" s="35">
        <f>E115*0.105+F115*0.158+G115*0.421+H115*0.053+I115*0.137+J115*0.126</f>
        <v/>
      </c>
      <c r="L115" s="9" t="inlineStr">
        <is>
          <t>HOLD</t>
        </is>
      </c>
      <c r="M115" s="33" t="inlineStr">
        <is>
          <t>MANTENER DLR | Score: 47/100 | Precio: $159.16 → Target: $195.04 (Upside: +23%) | DEBILIDADES: valoración cara (P/E 44.1x, EV/EBITDA 27.7x); baja calidad operativa (ROE bajo, márgenes débiles)</t>
        </is>
      </c>
    </row>
    <row r="116">
      <c r="A116" s="5" t="inlineStr">
        <is>
          <t>AIR.PA</t>
        </is>
      </c>
      <c r="B116" s="6" t="n">
        <v>206.8</v>
      </c>
      <c r="C116" s="6" t="n">
        <v>227.75</v>
      </c>
      <c r="D116" s="24" t="n">
        <v>10.1</v>
      </c>
      <c r="E116" s="17" t="n">
        <v>26</v>
      </c>
      <c r="F116" s="11" t="n">
        <v>51</v>
      </c>
      <c r="G116" s="11" t="n">
        <v>45</v>
      </c>
      <c r="H116" s="11" t="n">
        <v>58</v>
      </c>
      <c r="I116" s="11" t="n">
        <v>50</v>
      </c>
      <c r="J116" s="11" t="n">
        <v>50</v>
      </c>
      <c r="K116" s="35">
        <f>E116*0.105+F116*0.158+G116*0.421+H116*0.053+I116*0.137+J116*0.126</f>
        <v/>
      </c>
      <c r="L116" s="9" t="inlineStr">
        <is>
          <t>HOLD</t>
        </is>
      </c>
      <c r="M116" s="33" t="inlineStr">
        <is>
          <t>MANTENER AIR.PA | Score: 46/100 | Precio: $206.80 → Target: $227.75 (Upside: +10%) | DEBILIDADES: valoración cara (P/E 26.4x, EV/EBITDA 21.2x)</t>
        </is>
      </c>
    </row>
    <row r="117">
      <c r="A117" s="5" t="inlineStr">
        <is>
          <t>TM</t>
        </is>
      </c>
      <c r="B117" s="6" t="n">
        <v>226.28</v>
      </c>
      <c r="C117" s="6" t="n">
        <v>244.23</v>
      </c>
      <c r="D117" s="6" t="n">
        <v>7.9</v>
      </c>
      <c r="E117" s="14" t="n">
        <v>80</v>
      </c>
      <c r="F117" s="17" t="n">
        <v>24</v>
      </c>
      <c r="G117" s="9" t="n">
        <v>38</v>
      </c>
      <c r="H117" s="14" t="n">
        <v>75</v>
      </c>
      <c r="I117" s="11" t="n">
        <v>50</v>
      </c>
      <c r="J117" s="11" t="n">
        <v>50</v>
      </c>
      <c r="K117" s="35">
        <f>E117*0.105+F117*0.158+G117*0.421+H117*0.053+I117*0.137+J117*0.126</f>
        <v/>
      </c>
      <c r="L117" s="9" t="inlineStr">
        <is>
          <t>HOLD</t>
        </is>
      </c>
      <c r="M117" s="33" t="inlineStr">
        <is>
          <t>MANTENER TM | Score: 45/100 | Precio: $226.28 → Target: $244.23 (Upside: +8%) | FORTALEZAS: valoración atractiva (P/E 14.3x, EV/EBITDA 4.4x); baja volatilidad (beta 0.19, vol 31.1%) | DEBILIDADES: baja calidad operativa (ROE bajo, márgenes débiles)</t>
        </is>
      </c>
    </row>
    <row r="118">
      <c r="A118" s="5" t="inlineStr">
        <is>
          <t>RDY</t>
        </is>
      </c>
      <c r="B118" s="6" t="n">
        <v>13.68</v>
      </c>
      <c r="C118" s="6" t="n">
        <v>14.32</v>
      </c>
      <c r="D118" s="6" t="n">
        <v>4.7</v>
      </c>
      <c r="E118" s="14" t="n">
        <v>72</v>
      </c>
      <c r="F118" s="11" t="n">
        <v>54</v>
      </c>
      <c r="G118" s="17" t="n">
        <v>27</v>
      </c>
      <c r="H118" s="14" t="n">
        <v>86</v>
      </c>
      <c r="I118" s="11" t="n">
        <v>50</v>
      </c>
      <c r="J118" s="11" t="n">
        <v>50</v>
      </c>
      <c r="K118" s="35">
        <f>E118*0.105+F118*0.158+G118*0.421+H118*0.053+I118*0.137+J118*0.126</f>
        <v/>
      </c>
      <c r="L118" s="9" t="inlineStr">
        <is>
          <t>HOLD</t>
        </is>
      </c>
      <c r="M118" s="33" t="inlineStr">
        <is>
          <t>MANTENER RDY | Score: 45/100 | Precio: $13.68 → Target: $14.32 (Upside: +5%) | FORTALEZAS: valoración atractiva (P/E 24.2x); baja volatilidad (beta 0.32, vol 23.6%) | DEBILIDADES: momentum débil (retorno 12M: -1.7%)</t>
        </is>
      </c>
    </row>
    <row r="119">
      <c r="A119" s="5" t="inlineStr">
        <is>
          <t>TCEHY</t>
        </is>
      </c>
      <c r="B119" s="6" t="n">
        <v>76.72</v>
      </c>
      <c r="C119" s="6" t="n">
        <v>97.40000000000001</v>
      </c>
      <c r="D119" s="24" t="n">
        <v>27</v>
      </c>
      <c r="E119" s="14" t="n">
        <v>78</v>
      </c>
      <c r="F119" s="15" t="n">
        <v>67</v>
      </c>
      <c r="G119" s="11" t="n">
        <v>48</v>
      </c>
      <c r="H119" s="11" t="n">
        <v>52</v>
      </c>
      <c r="I119" s="11" t="n">
        <v>50</v>
      </c>
      <c r="J119" s="11" t="n">
        <v>50</v>
      </c>
      <c r="K119" s="35">
        <f>E119*0.105+F119*0.158+G119*0.421+H119*0.053+I119*0.137+J119*0.126</f>
        <v/>
      </c>
      <c r="L119" s="9" t="inlineStr">
        <is>
          <t>HOLD</t>
        </is>
      </c>
      <c r="M119" s="33" t="inlineStr">
        <is>
          <t>MANTENER TCEHY | Score: 45/100 | Precio: $76.72 → Target: $97.40 (Upside: +27%) | FORTALEZAS: valoración atractiva (P/E 16.6x, EV/EBITDA 3.0x); alta calidad (ROE 19.8%, margen 33.0%)</t>
        </is>
      </c>
    </row>
    <row r="120">
      <c r="A120" s="5" t="inlineStr">
        <is>
          <t>INFY</t>
        </is>
      </c>
      <c r="B120" s="6" t="n">
        <v>18.24</v>
      </c>
      <c r="C120" s="6" t="n">
        <v>19.29</v>
      </c>
      <c r="D120" s="6" t="n">
        <v>5.8</v>
      </c>
      <c r="E120" s="15" t="n">
        <v>63</v>
      </c>
      <c r="F120" s="15" t="n">
        <v>68</v>
      </c>
      <c r="G120" s="17" t="n">
        <v>23</v>
      </c>
      <c r="H120" s="14" t="n">
        <v>76</v>
      </c>
      <c r="I120" s="11" t="n">
        <v>50</v>
      </c>
      <c r="J120" s="11" t="n">
        <v>50</v>
      </c>
      <c r="K120" s="35">
        <f>E120*0.105+F120*0.158+G120*0.421+H120*0.053+I120*0.137+J120*0.126</f>
        <v/>
      </c>
      <c r="L120" s="9" t="inlineStr">
        <is>
          <t>HOLD</t>
        </is>
      </c>
      <c r="M120" s="33" t="inlineStr">
        <is>
          <t>MANTENER INFY | Score: 44/100 | Precio: $18.24 → Target: $19.29 (Upside: +6%) | FORTALEZAS: alta calidad (ROE 32.7%, margen 18.4%); baja volatilidad (beta 0.26, vol 29.5%) | DEBILIDADES: momentum débil (retorno 12M: -13.4%)</t>
        </is>
      </c>
    </row>
    <row r="121">
      <c r="A121" s="5" t="inlineStr">
        <is>
          <t>VST</t>
        </is>
      </c>
      <c r="B121" s="6" t="n">
        <v>160.12</v>
      </c>
      <c r="C121" s="6" t="n">
        <v>230.05</v>
      </c>
      <c r="D121" s="24" t="n">
        <v>43.7</v>
      </c>
      <c r="E121" s="11" t="n">
        <v>59</v>
      </c>
      <c r="F121" s="11" t="n">
        <v>41</v>
      </c>
      <c r="G121" s="11" t="n">
        <v>40</v>
      </c>
      <c r="H121" s="17" t="n">
        <v>11</v>
      </c>
      <c r="I121" s="11" t="n">
        <v>50</v>
      </c>
      <c r="J121" s="11" t="n">
        <v>50</v>
      </c>
      <c r="K121" s="35">
        <f>E121*0.105+F121*0.158+G121*0.421+H121*0.053+I121*0.137+J121*0.126</f>
        <v/>
      </c>
      <c r="L121" s="9" t="inlineStr">
        <is>
          <t>HOLD</t>
        </is>
      </c>
      <c r="M121" s="33" t="inlineStr">
        <is>
          <t>MANTENER VST | Score: 43/100 | Precio: $160.12 → Target: $230.05 (Upside: +44%) | DEBILIDADES: alta volatilidad (beta 1.42, vol 66.8%)</t>
        </is>
      </c>
    </row>
    <row r="122">
      <c r="A122" s="5" t="inlineStr">
        <is>
          <t>HDB</t>
        </is>
      </c>
      <c r="B122" s="6" t="n">
        <v>32.06</v>
      </c>
      <c r="C122" s="6" t="n">
        <v>42.95</v>
      </c>
      <c r="D122" s="24" t="n">
        <v>34</v>
      </c>
      <c r="E122" s="11" t="n">
        <v>46</v>
      </c>
      <c r="F122" s="9" t="n">
        <v>40</v>
      </c>
      <c r="G122" s="9" t="n">
        <v>35</v>
      </c>
      <c r="H122" s="14" t="n">
        <v>82</v>
      </c>
      <c r="I122" s="11" t="n">
        <v>50</v>
      </c>
      <c r="J122" s="11" t="n">
        <v>50</v>
      </c>
      <c r="K122" s="35">
        <f>E122*0.105+F122*0.158+G122*0.421+H122*0.053+I122*0.137+J122*0.126</f>
        <v/>
      </c>
      <c r="L122" s="9" t="inlineStr">
        <is>
          <t>HOLD</t>
        </is>
      </c>
      <c r="M122" s="33" t="inlineStr">
        <is>
          <t>MANTENER HDB | Score: 43/100 | Precio: $32.06 → Target: $42.95 (Upside: +34%) | FORTALEZAS: baja volatilidad (beta 0.46, vol 21.0%) | DEBILIDADES: momentum débil (retorno 12M: 11.3%)</t>
        </is>
      </c>
    </row>
    <row r="123">
      <c r="A123" s="5" t="inlineStr">
        <is>
          <t>CEG</t>
        </is>
      </c>
      <c r="B123" s="6" t="n">
        <v>289.06</v>
      </c>
      <c r="C123" s="6" t="n">
        <v>406.46</v>
      </c>
      <c r="D123" s="24" t="n">
        <v>40.6</v>
      </c>
      <c r="E123" s="11" t="n">
        <v>44</v>
      </c>
      <c r="F123" s="11" t="n">
        <v>49</v>
      </c>
      <c r="G123" s="9" t="n">
        <v>39</v>
      </c>
      <c r="H123" s="17" t="n">
        <v>22</v>
      </c>
      <c r="I123" s="11" t="n">
        <v>50</v>
      </c>
      <c r="J123" s="11" t="n">
        <v>50</v>
      </c>
      <c r="K123" s="35">
        <f>E123*0.105+F123*0.158+G123*0.421+H123*0.053+I123*0.137+J123*0.126</f>
        <v/>
      </c>
      <c r="L123" s="9" t="inlineStr">
        <is>
          <t>HOLD</t>
        </is>
      </c>
      <c r="M123" s="33" t="inlineStr">
        <is>
          <t>MANTENER CEG | Score: 43/100 | Precio: $289.06 → Target: $406.46 (Upside: +41%) | DEBILIDADES: alta volatilidad (beta 1.15, vol 56.8%)</t>
        </is>
      </c>
    </row>
    <row r="124">
      <c r="A124" s="5" t="inlineStr">
        <is>
          <t>IBN</t>
        </is>
      </c>
      <c r="B124" s="6" t="n">
        <v>29.15</v>
      </c>
      <c r="C124" s="6" t="n">
        <v>39.12</v>
      </c>
      <c r="D124" s="24" t="n">
        <v>34.2</v>
      </c>
      <c r="E124" s="11" t="n">
        <v>56</v>
      </c>
      <c r="F124" s="11" t="n">
        <v>43</v>
      </c>
      <c r="G124" s="17" t="n">
        <v>30</v>
      </c>
      <c r="H124" s="14" t="n">
        <v>94</v>
      </c>
      <c r="I124" s="11" t="n">
        <v>50</v>
      </c>
      <c r="J124" s="11" t="n">
        <v>50</v>
      </c>
      <c r="K124" s="35">
        <f>E124*0.105+F124*0.158+G124*0.421+H124*0.053+I124*0.137+J124*0.126</f>
        <v/>
      </c>
      <c r="L124" s="9" t="inlineStr">
        <is>
          <t>HOLD</t>
        </is>
      </c>
      <c r="M124" s="33" t="inlineStr">
        <is>
          <t>MANTENER IBN | Score: 43/100 | Precio: $29.15 → Target: $39.12 (Upside: +34%) | FORTALEZAS: baja volatilidad (beta 0.20, vol 19.1%) | DEBILIDADES: momentum débil (retorno 12M: 5.1%)</t>
        </is>
      </c>
    </row>
    <row r="125">
      <c r="A125" s="5" t="inlineStr">
        <is>
          <t>SIE.DE</t>
        </is>
      </c>
      <c r="B125" s="6" t="n">
        <v>254.4</v>
      </c>
      <c r="C125" s="6" t="n">
        <v>259.96</v>
      </c>
      <c r="D125" s="6" t="n">
        <v>2.2</v>
      </c>
      <c r="E125" s="11" t="n">
        <v>46</v>
      </c>
      <c r="F125" s="17" t="n">
        <v>26</v>
      </c>
      <c r="G125" s="11" t="n">
        <v>45</v>
      </c>
      <c r="H125" s="11" t="n">
        <v>41</v>
      </c>
      <c r="I125" s="11" t="n">
        <v>50</v>
      </c>
      <c r="J125" s="11" t="n">
        <v>50</v>
      </c>
      <c r="K125" s="35">
        <f>E125*0.105+F125*0.158+G125*0.421+H125*0.053+I125*0.137+J125*0.126</f>
        <v/>
      </c>
      <c r="L125" s="9" t="inlineStr">
        <is>
          <t>HOLD</t>
        </is>
      </c>
      <c r="M125" s="33" t="inlineStr">
        <is>
          <t>MANTENER SIE.DE | Score: 43/100 | Precio: $254.40 → Target: $259.96 (Upside: +2%) | DEBILIDADES: baja calidad operativa (ROE bajo, márgenes débiles)</t>
        </is>
      </c>
    </row>
    <row r="126">
      <c r="A126" s="5" t="inlineStr">
        <is>
          <t>MELI</t>
        </is>
      </c>
      <c r="B126" s="6" t="n">
        <v>2137.29</v>
      </c>
      <c r="C126" s="6" t="n">
        <v>2817</v>
      </c>
      <c r="D126" s="24" t="n">
        <v>31.8</v>
      </c>
      <c r="E126" s="17" t="n">
        <v>14</v>
      </c>
      <c r="F126" s="11" t="n">
        <v>50</v>
      </c>
      <c r="G126" s="11" t="n">
        <v>45</v>
      </c>
      <c r="H126" s="17" t="n">
        <v>28</v>
      </c>
      <c r="I126" s="11" t="n">
        <v>50</v>
      </c>
      <c r="J126" s="11" t="n">
        <v>50</v>
      </c>
      <c r="K126" s="35">
        <f>E126*0.105+F126*0.158+G126*0.421+H126*0.053+I126*0.137+J126*0.126</f>
        <v/>
      </c>
      <c r="L126" s="9" t="inlineStr">
        <is>
          <t>HOLD</t>
        </is>
      </c>
      <c r="M126" s="33" t="inlineStr">
        <is>
          <t>MANTENER MELI | Score: 43/100 | Precio: $2137.29 → Target: $2817.00 (Upside: +32%) | DEBILIDADES: valoración cara (P/E 35.9x, EV/EBITDA 29.5x); alta volatilidad (beta 1.42, vol 38.3%)</t>
        </is>
      </c>
    </row>
    <row r="127">
      <c r="A127" s="5" t="inlineStr">
        <is>
          <t>PKX</t>
        </is>
      </c>
      <c r="B127" s="6" t="n">
        <v>63.41</v>
      </c>
      <c r="C127" s="6" t="n">
        <v>69.45999999999999</v>
      </c>
      <c r="D127" s="6" t="n">
        <v>9.5</v>
      </c>
      <c r="E127" s="11" t="n">
        <v>52</v>
      </c>
      <c r="F127" s="17" t="n">
        <v>16</v>
      </c>
      <c r="G127" s="11" t="n">
        <v>49</v>
      </c>
      <c r="H127" s="17" t="n">
        <v>22</v>
      </c>
      <c r="I127" s="11" t="n">
        <v>50</v>
      </c>
      <c r="J127" s="11" t="n">
        <v>50</v>
      </c>
      <c r="K127" s="35">
        <f>E127*0.105+F127*0.158+G127*0.421+H127*0.053+I127*0.137+J127*0.126</f>
        <v/>
      </c>
      <c r="L127" s="9" t="inlineStr">
        <is>
          <t>HOLD</t>
        </is>
      </c>
      <c r="M127" s="33" t="inlineStr">
        <is>
          <t>MANTENER PKX | Score: 43/100 | Precio: $63.41 → Target: $69.46 (Upside: +10%) | DEBILIDADES: baja calidad operativa (ROE bajo, márgenes débiles); alta volatilidad (beta 1.45, vol 42.4%)</t>
        </is>
      </c>
    </row>
    <row r="128">
      <c r="A128" s="5" t="inlineStr">
        <is>
          <t>LPL</t>
        </is>
      </c>
      <c r="B128" s="6" t="n">
        <v>4.43</v>
      </c>
      <c r="C128" s="6" t="n">
        <v>5.36</v>
      </c>
      <c r="D128" s="24" t="n">
        <v>21</v>
      </c>
      <c r="E128" s="15" t="n">
        <v>63</v>
      </c>
      <c r="F128" s="17" t="n">
        <v>15</v>
      </c>
      <c r="G128" s="11" t="n">
        <v>45</v>
      </c>
      <c r="H128" s="9" t="n">
        <v>33</v>
      </c>
      <c r="I128" s="11" t="n">
        <v>50</v>
      </c>
      <c r="J128" s="11" t="n">
        <v>50</v>
      </c>
      <c r="K128" s="35">
        <f>E128*0.105+F128*0.158+G128*0.421+H128*0.053+I128*0.137+J128*0.126</f>
        <v/>
      </c>
      <c r="L128" s="9" t="inlineStr">
        <is>
          <t>HOLD</t>
        </is>
      </c>
      <c r="M128" s="33" t="inlineStr">
        <is>
          <t>MANTENER LPL | Score: 43/100 | Precio: $4.43 → Target: $5.36 (Upside: +21%) | DEBILIDADES: baja calidad operativa (ROE bajo, márgenes débiles); alta volatilidad (beta 1.09, vol 41.6%)</t>
        </is>
      </c>
    </row>
    <row r="129">
      <c r="A129" s="5" t="inlineStr">
        <is>
          <t>AVGO</t>
        </is>
      </c>
      <c r="B129" s="6" t="n">
        <v>320.05</v>
      </c>
      <c r="C129" s="6" t="n">
        <v>456.12</v>
      </c>
      <c r="D129" s="24" t="n">
        <v>42.5</v>
      </c>
      <c r="E129" s="11" t="n">
        <v>52</v>
      </c>
      <c r="F129" s="15" t="n">
        <v>65</v>
      </c>
      <c r="G129" s="9" t="n">
        <v>30</v>
      </c>
      <c r="H129" s="17" t="n">
        <v>20</v>
      </c>
      <c r="I129" s="11" t="n">
        <v>50</v>
      </c>
      <c r="J129" s="11" t="n">
        <v>50</v>
      </c>
      <c r="K129" s="35">
        <f>E129*0.105+F129*0.158+G129*0.421+H129*0.053+I129*0.137+J129*0.126</f>
        <v/>
      </c>
      <c r="L129" s="9" t="inlineStr">
        <is>
          <t>HOLD</t>
        </is>
      </c>
      <c r="M129" s="33" t="inlineStr">
        <is>
          <t>MANTENER AVGO | Score: 43/100 | Precio: $320.05 → Target: $456.12 (Upside: +43%) | DEBILIDADES: momentum débil (retorno 12M: 32.0%); alta volatilidad (beta 1.22, vol 53.6%)</t>
        </is>
      </c>
    </row>
    <row r="130">
      <c r="A130" s="5" t="inlineStr">
        <is>
          <t>ENPH</t>
        </is>
      </c>
      <c r="B130" s="6" t="n">
        <v>39.46</v>
      </c>
      <c r="C130" s="6" t="n">
        <v>39.59</v>
      </c>
      <c r="D130" s="6" t="n">
        <v>0.3</v>
      </c>
      <c r="E130" s="11" t="n">
        <v>49</v>
      </c>
      <c r="F130" s="15" t="n">
        <v>62</v>
      </c>
      <c r="G130" s="9" t="n">
        <v>33</v>
      </c>
      <c r="H130" s="17" t="n">
        <v>12</v>
      </c>
      <c r="I130" s="11" t="n">
        <v>50</v>
      </c>
      <c r="J130" s="11" t="n">
        <v>50</v>
      </c>
      <c r="K130" s="35">
        <f>E130*0.105+F130*0.158+G130*0.421+H130*0.053+I130*0.137+J130*0.126</f>
        <v/>
      </c>
      <c r="L130" s="9" t="inlineStr">
        <is>
          <t>HOLD</t>
        </is>
      </c>
      <c r="M130" s="33" t="inlineStr">
        <is>
          <t>MANTENER ENPH | Score: 43/100 | Precio: $39.46 → Target: $39.59 (Upside: +0%) | DEBILIDADES: momentum débil (retorno 12M: -37.7%); alta volatilidad (beta 1.35, vol 71.3%)</t>
        </is>
      </c>
    </row>
    <row r="131">
      <c r="A131" s="5" t="inlineStr">
        <is>
          <t>IBM</t>
        </is>
      </c>
      <c r="B131" s="6" t="n">
        <v>292.44</v>
      </c>
      <c r="C131" s="6" t="n">
        <v>305.16</v>
      </c>
      <c r="D131" s="6" t="n">
        <v>4.3</v>
      </c>
      <c r="E131" s="11" t="n">
        <v>44</v>
      </c>
      <c r="F131" s="11" t="n">
        <v>47</v>
      </c>
      <c r="G131" s="9" t="n">
        <v>34</v>
      </c>
      <c r="H131" s="11" t="n">
        <v>58</v>
      </c>
      <c r="I131" s="11" t="n">
        <v>50</v>
      </c>
      <c r="J131" s="11" t="n">
        <v>50</v>
      </c>
      <c r="K131" s="35">
        <f>E131*0.105+F131*0.158+G131*0.421+H131*0.053+I131*0.137+J131*0.126</f>
        <v/>
      </c>
      <c r="L131" s="9" t="inlineStr">
        <is>
          <t>HOLD</t>
        </is>
      </c>
      <c r="M131" s="33" t="inlineStr">
        <is>
          <t>MANTENER IBM | Score: 43/100 | Precio: $292.44 → Target: $305.16 (Upside: +4%) | DEBILIDADES: momentum débil (retorno 12M: 33.5%)</t>
        </is>
      </c>
    </row>
    <row r="132">
      <c r="A132" s="5" t="inlineStr">
        <is>
          <t>WIT</t>
        </is>
      </c>
      <c r="B132" s="6" t="n">
        <v>2.58</v>
      </c>
      <c r="C132" s="6" t="n">
        <v>2.62</v>
      </c>
      <c r="D132" s="6" t="n">
        <v>1.6</v>
      </c>
      <c r="E132" s="14" t="n">
        <v>83</v>
      </c>
      <c r="F132" s="11" t="n">
        <v>57</v>
      </c>
      <c r="G132" s="17" t="n">
        <v>19</v>
      </c>
      <c r="H132" s="14" t="n">
        <v>71</v>
      </c>
      <c r="I132" s="11" t="n">
        <v>50</v>
      </c>
      <c r="J132" s="11" t="n">
        <v>50</v>
      </c>
      <c r="K132" s="35">
        <f>E132*0.105+F132*0.158+G132*0.421+H132*0.053+I132*0.137+J132*0.126</f>
        <v/>
      </c>
      <c r="L132" s="9" t="inlineStr">
        <is>
          <t>HOLD</t>
        </is>
      </c>
      <c r="M132" s="33" t="inlineStr">
        <is>
          <t>MANTENER WIT | Score: 43/100 | Precio: $2.58 → Target: $2.62 (Upside: +2%) | FORTALEZAS: valoración atractiva (P/E 17.7x, EV/EBITDA -2.1x); baja volatilidad (beta 0.56, vol 26.9%) | DEBILIDADES: momentum débil (retorno 12M: -28.8%)</t>
        </is>
      </c>
    </row>
    <row r="133">
      <c r="A133" s="5" t="inlineStr">
        <is>
          <t>NTES</t>
        </is>
      </c>
      <c r="B133" s="6" t="n">
        <v>132.24</v>
      </c>
      <c r="C133" s="6" t="n">
        <v>168.49</v>
      </c>
      <c r="D133" s="24" t="n">
        <v>27.4</v>
      </c>
      <c r="E133" s="14" t="n">
        <v>78</v>
      </c>
      <c r="F133" s="14" t="n">
        <v>74</v>
      </c>
      <c r="G133" s="11" t="n">
        <v>40</v>
      </c>
      <c r="H133" s="11" t="n">
        <v>48</v>
      </c>
      <c r="I133" s="11" t="n">
        <v>50</v>
      </c>
      <c r="J133" s="11" t="n">
        <v>50</v>
      </c>
      <c r="K133" s="35">
        <f>E133*0.105+F133*0.158+G133*0.421+H133*0.053+I133*0.137+J133*0.126</f>
        <v/>
      </c>
      <c r="L133" s="9" t="inlineStr">
        <is>
          <t>HOLD</t>
        </is>
      </c>
      <c r="M133" s="33" t="inlineStr">
        <is>
          <t>MANTENER NTES | Score: 42/100 | Precio: $132.24 → Target: $168.49 (Upside: +27%) | FORTALEZAS: valoración atractiva (P/E 14.1x, EV/EBITDA 7.6x); alta calidad (ROE 25.2%, margen 28.3%) | ESTRATEGIA: Largo plazo (value-quality) - empresa dominante a buen precio</t>
        </is>
      </c>
    </row>
    <row r="134">
      <c r="A134" s="5" t="inlineStr">
        <is>
          <t>V</t>
        </is>
      </c>
      <c r="B134" s="6" t="n">
        <v>326.18</v>
      </c>
      <c r="C134" s="6" t="n">
        <v>398.5</v>
      </c>
      <c r="D134" s="24" t="n">
        <v>22.2</v>
      </c>
      <c r="E134" s="11" t="n">
        <v>40</v>
      </c>
      <c r="F134" s="14" t="n">
        <v>84</v>
      </c>
      <c r="G134" s="17" t="n">
        <v>19</v>
      </c>
      <c r="H134" s="14" t="n">
        <v>72</v>
      </c>
      <c r="I134" s="11" t="n">
        <v>50</v>
      </c>
      <c r="J134" s="11" t="n">
        <v>50</v>
      </c>
      <c r="K134" s="35">
        <f>E134*0.105+F134*0.158+G134*0.421+H134*0.053+I134*0.137+J134*0.126</f>
        <v/>
      </c>
      <c r="L134" s="9" t="inlineStr">
        <is>
          <t>HOLD</t>
        </is>
      </c>
      <c r="M134" s="33" t="inlineStr">
        <is>
          <t>MANTENER V | Score: 42/100 | Precio: $326.18 → Target: $398.50 (Upside: +22%) | FORTALEZAS: alta calidad (ROE 52.1%, margen 65.8%); baja volatilidad (beta 0.81, vol 23.0%) | DEBILIDADES: momentum débil (retorno 12M: -0.5%)</t>
        </is>
      </c>
    </row>
    <row r="135">
      <c r="A135" s="5" t="inlineStr">
        <is>
          <t>SONY</t>
        </is>
      </c>
      <c r="B135" s="6" t="n">
        <v>23.09</v>
      </c>
      <c r="C135" s="6" t="n">
        <v>32.46</v>
      </c>
      <c r="D135" s="24" t="n">
        <v>40.6</v>
      </c>
      <c r="E135" s="11" t="n">
        <v>48</v>
      </c>
      <c r="F135" s="11" t="n">
        <v>51</v>
      </c>
      <c r="G135" s="9" t="n">
        <v>31</v>
      </c>
      <c r="H135" s="11" t="n">
        <v>60</v>
      </c>
      <c r="I135" s="11" t="n">
        <v>50</v>
      </c>
      <c r="J135" s="11" t="n">
        <v>50</v>
      </c>
      <c r="K135" s="35">
        <f>E135*0.105+F135*0.158+G135*0.421+H135*0.053+I135*0.137+J135*0.126</f>
        <v/>
      </c>
      <c r="L135" s="9" t="inlineStr">
        <is>
          <t>HOLD</t>
        </is>
      </c>
      <c r="M135" s="33" t="inlineStr">
        <is>
          <t>MANTENER SONY | Score: 42/100 | Precio: $23.09 → Target: $32.46 (Upside: +41%) | DEBILIDADES: momentum débil (retorno 12M: 11.2%)</t>
        </is>
      </c>
    </row>
    <row r="136">
      <c r="A136" s="5" t="inlineStr">
        <is>
          <t>RELX</t>
        </is>
      </c>
      <c r="B136" s="6" t="n">
        <v>39.9</v>
      </c>
      <c r="C136" s="6" t="n">
        <v>53.95</v>
      </c>
      <c r="D136" s="24" t="n">
        <v>35.2</v>
      </c>
      <c r="E136" s="9" t="n">
        <v>38</v>
      </c>
      <c r="F136" s="15" t="n">
        <v>62</v>
      </c>
      <c r="G136" s="17" t="n">
        <v>25</v>
      </c>
      <c r="H136" s="14" t="n">
        <v>89</v>
      </c>
      <c r="I136" s="11" t="n">
        <v>50</v>
      </c>
      <c r="J136" s="11" t="n">
        <v>50</v>
      </c>
      <c r="K136" s="35">
        <f>E136*0.105+F136*0.158+G136*0.421+H136*0.053+I136*0.137+J136*0.126</f>
        <v/>
      </c>
      <c r="L136" s="9" t="inlineStr">
        <is>
          <t>HOLD</t>
        </is>
      </c>
      <c r="M136" s="33" t="inlineStr">
        <is>
          <t>MANTENER RELX | Score: 42/100 | Precio: $39.90 → Target: $53.95 (Upside: +35%) | FORTALEZAS: baja volatilidad (beta 0.28, vol 23.0%) | DEBILIDADES: momentum débil (retorno 12M: -17.0%)</t>
        </is>
      </c>
    </row>
    <row r="137">
      <c r="A137" s="5" t="inlineStr">
        <is>
          <t>MA</t>
        </is>
      </c>
      <c r="B137" s="6" t="n">
        <v>524.74</v>
      </c>
      <c r="C137" s="6" t="n">
        <v>665.09</v>
      </c>
      <c r="D137" s="24" t="n">
        <v>26.7</v>
      </c>
      <c r="E137" s="9" t="n">
        <v>36</v>
      </c>
      <c r="F137" s="14" t="n">
        <v>85</v>
      </c>
      <c r="G137" s="17" t="n">
        <v>19</v>
      </c>
      <c r="H137" s="14" t="n">
        <v>71</v>
      </c>
      <c r="I137" s="11" t="n">
        <v>50</v>
      </c>
      <c r="J137" s="11" t="n">
        <v>50</v>
      </c>
      <c r="K137" s="35">
        <f>E137*0.105+F137*0.158+G137*0.421+H137*0.053+I137*0.137+J137*0.126</f>
        <v/>
      </c>
      <c r="L137" s="9" t="inlineStr">
        <is>
          <t>HOLD</t>
        </is>
      </c>
      <c r="M137" s="33" t="inlineStr">
        <is>
          <t>MANTENER MA | Score: 42/100 | Precio: $524.74 → Target: $665.09 (Upside: +27%) | FORTALEZAS: alta calidad (ROE 184.9%, margen 59.8%); baja volatilidad (beta 0.86, vol 23.0%) | DEBILIDADES: momentum débil (retorno 12M: -1.1%)</t>
        </is>
      </c>
    </row>
    <row r="138">
      <c r="A138" s="5" t="inlineStr">
        <is>
          <t>SAP</t>
        </is>
      </c>
      <c r="B138" s="6" t="n">
        <v>231.07</v>
      </c>
      <c r="C138" s="6" t="n">
        <v>336</v>
      </c>
      <c r="D138" s="24" t="n">
        <v>45.4</v>
      </c>
      <c r="E138" s="9" t="n">
        <v>32</v>
      </c>
      <c r="F138" s="15" t="n">
        <v>62</v>
      </c>
      <c r="G138" s="17" t="n">
        <v>29</v>
      </c>
      <c r="H138" s="15" t="n">
        <v>64</v>
      </c>
      <c r="I138" s="11" t="n">
        <v>50</v>
      </c>
      <c r="J138" s="11" t="n">
        <v>50</v>
      </c>
      <c r="K138" s="35">
        <f>E138*0.105+F138*0.158+G138*0.421+H138*0.053+I138*0.137+J138*0.126</f>
        <v/>
      </c>
      <c r="L138" s="9" t="inlineStr">
        <is>
          <t>HOLD</t>
        </is>
      </c>
      <c r="M138" s="33" t="inlineStr">
        <is>
          <t>MANTENER SAP | Score: 42/100 | Precio: $231.07 → Target: $336.00 (Upside: +45%) | DEBILIDADES: valoración cara (P/E 27.3x, EV/EBITDA 24.8x); momentum débil (retorno 12M: -15.6%)</t>
        </is>
      </c>
    </row>
    <row r="139">
      <c r="A139" s="5" t="inlineStr">
        <is>
          <t>HMC</t>
        </is>
      </c>
      <c r="B139" s="6" t="n">
        <v>30.42</v>
      </c>
      <c r="C139" s="6" t="n">
        <v>36.39</v>
      </c>
      <c r="D139" s="24" t="n">
        <v>19.6</v>
      </c>
      <c r="E139" s="14" t="n">
        <v>88</v>
      </c>
      <c r="F139" s="17" t="n">
        <v>14</v>
      </c>
      <c r="G139" s="9" t="n">
        <v>31</v>
      </c>
      <c r="H139" s="14" t="n">
        <v>78</v>
      </c>
      <c r="I139" s="11" t="n">
        <v>50</v>
      </c>
      <c r="J139" s="11" t="n">
        <v>50</v>
      </c>
      <c r="K139" s="35">
        <f>E139*0.105+F139*0.158+G139*0.421+H139*0.053+I139*0.137+J139*0.126</f>
        <v/>
      </c>
      <c r="L139" s="9" t="inlineStr">
        <is>
          <t>HOLD</t>
        </is>
      </c>
      <c r="M139" s="33" t="inlineStr">
        <is>
          <t>MANTENER HMC | Score: 42/100 | Precio: $30.42 → Target: $36.39 (Upside: +20%) | FORTALEZAS: valoración atractiva (P/E 6.1x, EV/EBITDA 6.1x); baja volatilidad (beta 0.10, vol 30.7%) | DEBILIDADES: baja calidad operativa (ROE bajo, márgenes débiles); momentum débil (retorno 12M: 8.8%)</t>
        </is>
      </c>
    </row>
    <row r="140">
      <c r="A140" s="5" t="inlineStr">
        <is>
          <t>AAPL</t>
        </is>
      </c>
      <c r="B140" s="6" t="n">
        <v>248.04</v>
      </c>
      <c r="C140" s="6" t="n">
        <v>287.22</v>
      </c>
      <c r="D140" s="24" t="n">
        <v>15.8</v>
      </c>
      <c r="E140" s="9" t="n">
        <v>30</v>
      </c>
      <c r="F140" s="14" t="n">
        <v>75</v>
      </c>
      <c r="G140" s="17" t="n">
        <v>26</v>
      </c>
      <c r="H140" s="11" t="n">
        <v>44</v>
      </c>
      <c r="I140" s="11" t="n">
        <v>50</v>
      </c>
      <c r="J140" s="11" t="n">
        <v>50</v>
      </c>
      <c r="K140" s="35">
        <f>E140*0.105+F140*0.158+G140*0.421+H140*0.053+I140*0.137+J140*0.126</f>
        <v/>
      </c>
      <c r="L140" s="9" t="inlineStr">
        <is>
          <t>HOLD</t>
        </is>
      </c>
      <c r="M140" s="33" t="inlineStr">
        <is>
          <t>MANTENER AAPL | Score: 42/100 | Precio: $248.04 → Target: $287.22 (Upside: +16%) | FORTALEZAS: alta calidad (ROE 171.4%, margen 31.6%) | DEBILIDADES: valoración cara (P/E 27.1x, EV/EBITDA 25.7x); momentum débil (retorno 12M: 11.8%)</t>
        </is>
      </c>
    </row>
    <row r="141">
      <c r="A141" s="5" t="inlineStr">
        <is>
          <t>AMD</t>
        </is>
      </c>
      <c r="B141" s="6" t="n">
        <v>259.68</v>
      </c>
      <c r="C141" s="6" t="n">
        <v>286.59</v>
      </c>
      <c r="D141" s="24" t="n">
        <v>10.4</v>
      </c>
      <c r="E141" s="17" t="n">
        <v>14</v>
      </c>
      <c r="F141" s="11" t="n">
        <v>43</v>
      </c>
      <c r="G141" s="11" t="n">
        <v>46</v>
      </c>
      <c r="H141" s="17" t="n">
        <v>8</v>
      </c>
      <c r="I141" s="11" t="n">
        <v>50</v>
      </c>
      <c r="J141" s="11" t="n">
        <v>50</v>
      </c>
      <c r="K141" s="35">
        <f>E141*0.105+F141*0.158+G141*0.421+H141*0.053+I141*0.137+J141*0.126</f>
        <v/>
      </c>
      <c r="L141" s="9" t="inlineStr">
        <is>
          <t>HOLD</t>
        </is>
      </c>
      <c r="M141" s="33" t="inlineStr">
        <is>
          <t>MANTENER AMD | Score: 41/100 | Precio: $259.68 → Target: $286.59 (Upside: +10%) | DEBILIDADES: valoración cara (P/E 39.5x, EV/EBITDA 69.3x); alta volatilidad (beta 1.95, vol 61.1%)</t>
        </is>
      </c>
    </row>
    <row r="142">
      <c r="A142" s="5" t="inlineStr">
        <is>
          <t>RMS.PA</t>
        </is>
      </c>
      <c r="B142" s="6" t="n">
        <v>2130</v>
      </c>
      <c r="C142" s="6" t="n">
        <v>2367.5</v>
      </c>
      <c r="D142" s="24" t="n">
        <v>11.2</v>
      </c>
      <c r="E142" s="17" t="n">
        <v>21</v>
      </c>
      <c r="F142" s="14" t="n">
        <v>82</v>
      </c>
      <c r="G142" s="17" t="n">
        <v>23</v>
      </c>
      <c r="H142" s="15" t="n">
        <v>61</v>
      </c>
      <c r="I142" s="11" t="n">
        <v>50</v>
      </c>
      <c r="J142" s="11" t="n">
        <v>50</v>
      </c>
      <c r="K142" s="35">
        <f>E142*0.105+F142*0.158+G142*0.421+H142*0.053+I142*0.137+J142*0.126</f>
        <v/>
      </c>
      <c r="L142" s="9" t="inlineStr">
        <is>
          <t>HOLD</t>
        </is>
      </c>
      <c r="M142" s="33" t="inlineStr">
        <is>
          <t>MANTENER RMS.PA | Score: 41/100 | Precio: $2130.00 → Target: $2367.50 (Upside: +11%) | FORTALEZAS: alta calidad (ROE 28.5%, margen 42.3%) | DEBILIDADES: valoración cara (P/E 45.0x, EV/EBITDA 31.8x); momentum débil (retorno 12M: -18.4%)</t>
        </is>
      </c>
    </row>
    <row r="143">
      <c r="A143" s="5" t="inlineStr">
        <is>
          <t>BIDU</t>
        </is>
      </c>
      <c r="B143" s="6" t="n">
        <v>161.44</v>
      </c>
      <c r="C143" s="6" t="n">
        <v>171.55</v>
      </c>
      <c r="D143" s="6" t="n">
        <v>6.3</v>
      </c>
      <c r="E143" s="15" t="n">
        <v>65</v>
      </c>
      <c r="F143" s="9" t="n">
        <v>36</v>
      </c>
      <c r="G143" s="11" t="n">
        <v>53</v>
      </c>
      <c r="H143" s="11" t="n">
        <v>53</v>
      </c>
      <c r="I143" s="11" t="n">
        <v>50</v>
      </c>
      <c r="J143" s="11" t="n">
        <v>50</v>
      </c>
      <c r="K143" s="35">
        <f>E143*0.105+F143*0.158+G143*0.421+H143*0.053+I143*0.137+J143*0.126</f>
        <v/>
      </c>
      <c r="L143" s="9" t="inlineStr">
        <is>
          <t>HOLD</t>
        </is>
      </c>
      <c r="M143" s="33" t="inlineStr">
        <is>
          <t>MANTENER BIDU | Score: 41/100 | Precio: $161.44 → Target: $171.55 (Upside: +6%)</t>
        </is>
      </c>
    </row>
    <row r="144">
      <c r="A144" s="5" t="inlineStr">
        <is>
          <t>SPOT</t>
        </is>
      </c>
      <c r="B144" s="6" t="n">
        <v>513.21</v>
      </c>
      <c r="C144" s="6" t="n">
        <v>735.1900000000001</v>
      </c>
      <c r="D144" s="24" t="n">
        <v>43.3</v>
      </c>
      <c r="E144" s="17" t="n">
        <v>16</v>
      </c>
      <c r="F144" s="15" t="n">
        <v>62</v>
      </c>
      <c r="G144" s="9" t="n">
        <v>35</v>
      </c>
      <c r="H144" s="17" t="n">
        <v>18</v>
      </c>
      <c r="I144" s="11" t="n">
        <v>50</v>
      </c>
      <c r="J144" s="11" t="n">
        <v>50</v>
      </c>
      <c r="K144" s="35">
        <f>E144*0.105+F144*0.158+G144*0.421+H144*0.053+I144*0.137+J144*0.126</f>
        <v/>
      </c>
      <c r="L144" s="9" t="inlineStr">
        <is>
          <t>HOLD</t>
        </is>
      </c>
      <c r="M144" s="33" t="inlineStr">
        <is>
          <t>MANTENER SPOT | Score: 40/100 | Precio: $513.21 → Target: $735.19 (Upside: +43%) | DEBILIDADES: valoración cara (P/E 35.5x, EV/EBITDA 49.3x); alta volatilidad (beta 1.66, vol 44.0%)</t>
        </is>
      </c>
    </row>
    <row r="145">
      <c r="A145" s="5" t="inlineStr">
        <is>
          <t>META</t>
        </is>
      </c>
      <c r="B145" s="6" t="n">
        <v>658.76</v>
      </c>
      <c r="C145" s="6" t="n">
        <v>831.9299999999999</v>
      </c>
      <c r="D145" s="24" t="n">
        <v>26.3</v>
      </c>
      <c r="E145" s="9" t="n">
        <v>39</v>
      </c>
      <c r="F145" s="14" t="n">
        <v>77</v>
      </c>
      <c r="G145" s="17" t="n">
        <v>21</v>
      </c>
      <c r="H145" s="9" t="n">
        <v>32</v>
      </c>
      <c r="I145" s="11" t="n">
        <v>50</v>
      </c>
      <c r="J145" s="11" t="n">
        <v>50</v>
      </c>
      <c r="K145" s="36">
        <f>E145*0.105+F145*0.158+G145*0.421+H145*0.053+I145*0.137+J145*0.126</f>
        <v/>
      </c>
      <c r="L145" s="17" t="inlineStr">
        <is>
          <t>REDUCE</t>
        </is>
      </c>
      <c r="M145" s="37" t="inlineStr">
        <is>
          <t>REDUCIR META | Score: 40/100 | Precio: $658.76 → Target: $831.93 (Upside: +26%) | FORTALEZAS: alta calidad (ROE 32.6%, margen 40.1%) | DEBILIDADES: momentum débil (retorno 12M: 2.1%); alta volatilidad (beta 1.29, vol 38.1%)</t>
        </is>
      </c>
    </row>
    <row r="146">
      <c r="A146" s="5" t="inlineStr">
        <is>
          <t>INTC</t>
        </is>
      </c>
      <c r="B146" s="6" t="n">
        <v>45.07</v>
      </c>
      <c r="C146" s="6" t="n">
        <v>46.09</v>
      </c>
      <c r="D146" s="6" t="n">
        <v>2.3</v>
      </c>
      <c r="E146" s="17" t="n">
        <v>20</v>
      </c>
      <c r="F146" s="17" t="n">
        <v>24</v>
      </c>
      <c r="G146" s="11" t="n">
        <v>47</v>
      </c>
      <c r="H146" s="17" t="n">
        <v>13</v>
      </c>
      <c r="I146" s="11" t="n">
        <v>50</v>
      </c>
      <c r="J146" s="11" t="n">
        <v>50</v>
      </c>
      <c r="K146" s="36">
        <f>E146*0.105+F146*0.158+G146*0.421+H146*0.053+I146*0.137+J146*0.126</f>
        <v/>
      </c>
      <c r="L146" s="17" t="inlineStr">
        <is>
          <t>REDUCE</t>
        </is>
      </c>
      <c r="M146" s="37" t="inlineStr">
        <is>
          <t>REDUCIR INTC | Score: 40/100 | Precio: $45.07 → Target: $46.09 (Upside: +2%) | DEBILIDADES: valoración cara (P/E 44.8x, EV/EBITDA 19.5x); baja calidad operativa (ROE bajo, márgenes débiles); alta volatilidad (beta 1.35, vol 68.4%)</t>
        </is>
      </c>
    </row>
    <row r="147">
      <c r="A147" s="5" t="inlineStr">
        <is>
          <t>IFNNY</t>
        </is>
      </c>
      <c r="B147" s="6" t="n">
        <v>49.94</v>
      </c>
      <c r="C147" s="6" t="n">
        <v>50.67</v>
      </c>
      <c r="D147" s="6" t="n">
        <v>1.5</v>
      </c>
      <c r="E147" s="11" t="n">
        <v>45</v>
      </c>
      <c r="F147" s="9" t="n">
        <v>38</v>
      </c>
      <c r="G147" s="9" t="n">
        <v>35</v>
      </c>
      <c r="H147" s="17" t="n">
        <v>18</v>
      </c>
      <c r="I147" s="11" t="n">
        <v>50</v>
      </c>
      <c r="J147" s="11" t="n">
        <v>50</v>
      </c>
      <c r="K147" s="36">
        <f>E147*0.105+F147*0.158+G147*0.421+H147*0.053+I147*0.137+J147*0.126</f>
        <v/>
      </c>
      <c r="L147" s="17" t="inlineStr">
        <is>
          <t>REDUCE</t>
        </is>
      </c>
      <c r="M147" s="37" t="inlineStr">
        <is>
          <t>REDUCIR IFNNY | Score: 40/100 | Precio: $49.94 → Target: $50.67 (Upside: +1%) | DEBILIDADES: alta volatilidad (beta 1.66, vol 42.7%)</t>
        </is>
      </c>
    </row>
    <row r="148">
      <c r="A148" s="5" t="inlineStr">
        <is>
          <t>MDB</t>
        </is>
      </c>
      <c r="B148" s="6" t="n">
        <v>398.69</v>
      </c>
      <c r="C148" s="6" t="n">
        <v>448.75</v>
      </c>
      <c r="D148" s="24" t="n">
        <v>12.6</v>
      </c>
      <c r="E148" s="11" t="n">
        <v>44</v>
      </c>
      <c r="F148" s="17" t="n">
        <v>21</v>
      </c>
      <c r="G148" s="11" t="n">
        <v>42</v>
      </c>
      <c r="H148" s="17" t="n">
        <v>12</v>
      </c>
      <c r="I148" s="11" t="n">
        <v>50</v>
      </c>
      <c r="J148" s="11" t="n">
        <v>50</v>
      </c>
      <c r="K148" s="36">
        <f>E148*0.105+F148*0.158+G148*0.421+H148*0.053+I148*0.137+J148*0.126</f>
        <v/>
      </c>
      <c r="L148" s="17" t="inlineStr">
        <is>
          <t>REDUCE</t>
        </is>
      </c>
      <c r="M148" s="37" t="inlineStr">
        <is>
          <t>REDUCIR MDB | Score: 39/100 | Precio: $398.69 → Target: $448.75 (Upside: +13%) | DEBILIDADES: baja calidad operativa (ROE bajo, márgenes débiles); alta volatilidad (beta 1.38, vol 70.8%)</t>
        </is>
      </c>
    </row>
    <row r="149">
      <c r="A149" s="5" t="inlineStr">
        <is>
          <t>RACE</t>
        </is>
      </c>
      <c r="B149" s="6" t="n">
        <v>338.53</v>
      </c>
      <c r="C149" s="6" t="n">
        <v>462.01</v>
      </c>
      <c r="D149" s="24" t="n">
        <v>36.5</v>
      </c>
      <c r="E149" s="17" t="n">
        <v>25</v>
      </c>
      <c r="F149" s="15" t="n">
        <v>69</v>
      </c>
      <c r="G149" s="17" t="n">
        <v>22</v>
      </c>
      <c r="H149" s="11" t="n">
        <v>57</v>
      </c>
      <c r="I149" s="11" t="n">
        <v>50</v>
      </c>
      <c r="J149" s="11" t="n">
        <v>50</v>
      </c>
      <c r="K149" s="36">
        <f>E149*0.105+F149*0.158+G149*0.421+H149*0.053+I149*0.137+J149*0.126</f>
        <v/>
      </c>
      <c r="L149" s="17" t="inlineStr">
        <is>
          <t>REDUCE</t>
        </is>
      </c>
      <c r="M149" s="37" t="inlineStr">
        <is>
          <t>REDUCIR RACE | Score: 39/100 | Precio: $338.53 → Target: $462.01 (Upside: +36%) | FORTALEZAS: alta calidad (ROE 45.0%, margen 28.3%) | DEBILIDADES: valoración cara (P/E 29.9x, EV/EBITDA 26.2x); momentum débil (retorno 12M: -21.1%)</t>
        </is>
      </c>
    </row>
    <row r="150">
      <c r="A150" s="5" t="inlineStr">
        <is>
          <t>SE</t>
        </is>
      </c>
      <c r="B150" s="6" t="n">
        <v>124.78</v>
      </c>
      <c r="C150" s="6" t="n">
        <v>190.04</v>
      </c>
      <c r="D150" s="24" t="n">
        <v>52.3</v>
      </c>
      <c r="E150" s="17" t="n">
        <v>23</v>
      </c>
      <c r="F150" s="11" t="n">
        <v>53</v>
      </c>
      <c r="G150" s="9" t="n">
        <v>33</v>
      </c>
      <c r="H150" s="17" t="n">
        <v>15</v>
      </c>
      <c r="I150" s="11" t="n">
        <v>50</v>
      </c>
      <c r="J150" s="11" t="n">
        <v>50</v>
      </c>
      <c r="K150" s="36">
        <f>E150*0.105+F150*0.158+G150*0.421+H150*0.053+I150*0.137+J150*0.126</f>
        <v/>
      </c>
      <c r="L150" s="17" t="inlineStr">
        <is>
          <t>REDUCE</t>
        </is>
      </c>
      <c r="M150" s="37" t="inlineStr">
        <is>
          <t>REDUCIR SE | Score: 39/100 | Precio: $124.78 → Target: $190.04 (Upside: +52%) | DEBILIDADES: valoración cara (P/E 25.0x, EV/EBITDA 38.3x); momentum débil (retorno 12M: 5.9%); alta volatilidad (beta 1.57, vol 49.9%)</t>
        </is>
      </c>
    </row>
    <row r="151">
      <c r="A151" s="5" t="inlineStr">
        <is>
          <t>KER.PA</t>
        </is>
      </c>
      <c r="B151" s="6" t="n">
        <v>274.95</v>
      </c>
      <c r="C151" s="6" t="n">
        <v>301.17</v>
      </c>
      <c r="D151" s="6" t="n">
        <v>9.5</v>
      </c>
      <c r="E151" s="9" t="n">
        <v>40</v>
      </c>
      <c r="F151" s="17" t="n">
        <v>20</v>
      </c>
      <c r="G151" s="9" t="n">
        <v>39</v>
      </c>
      <c r="H151" s="17" t="n">
        <v>30</v>
      </c>
      <c r="I151" s="11" t="n">
        <v>50</v>
      </c>
      <c r="J151" s="11" t="n">
        <v>50</v>
      </c>
      <c r="K151" s="36">
        <f>E151*0.105+F151*0.158+G151*0.421+H151*0.053+I151*0.137+J151*0.126</f>
        <v/>
      </c>
      <c r="L151" s="17" t="inlineStr">
        <is>
          <t>REDUCE</t>
        </is>
      </c>
      <c r="M151" s="37" t="inlineStr">
        <is>
          <t>REDUCIR KER.PA | Score: 38/100 | Precio: $274.95 → Target: $301.17 (Upside: +10%) | DEBILIDADES: baja calidad operativa (ROE bajo, márgenes débiles); alta volatilidad (beta 1.20, vol 42.1%)</t>
        </is>
      </c>
    </row>
    <row r="152">
      <c r="A152" s="5" t="inlineStr">
        <is>
          <t>MC.PA</t>
        </is>
      </c>
      <c r="B152" s="6" t="n">
        <v>591.4</v>
      </c>
      <c r="C152" s="6" t="n">
        <v>648.61</v>
      </c>
      <c r="D152" s="6" t="n">
        <v>9.699999999999999</v>
      </c>
      <c r="E152" s="11" t="n">
        <v>51</v>
      </c>
      <c r="F152" s="11" t="n">
        <v>47</v>
      </c>
      <c r="G152" s="17" t="n">
        <v>23</v>
      </c>
      <c r="H152" s="11" t="n">
        <v>51</v>
      </c>
      <c r="I152" s="11" t="n">
        <v>50</v>
      </c>
      <c r="J152" s="11" t="n">
        <v>50</v>
      </c>
      <c r="K152" s="36">
        <f>E152*0.105+F152*0.158+G152*0.421+H152*0.053+I152*0.137+J152*0.126</f>
        <v/>
      </c>
      <c r="L152" s="17" t="inlineStr">
        <is>
          <t>REDUCE</t>
        </is>
      </c>
      <c r="M152" s="37" t="inlineStr">
        <is>
          <t>REDUCIR MC.PA | Score: 38/100 | Precio: $591.40 → Target: $648.61 (Upside: +10%) | DEBILIDADES: momentum débil (retorno 12M: -16.0%)</t>
        </is>
      </c>
    </row>
    <row r="153">
      <c r="A153" s="5" t="inlineStr">
        <is>
          <t>BABA</t>
        </is>
      </c>
      <c r="B153" s="6" t="n">
        <v>173.23</v>
      </c>
      <c r="C153" s="6" t="n">
        <v>196.49</v>
      </c>
      <c r="D153" s="24" t="n">
        <v>13.4</v>
      </c>
      <c r="E153" s="9" t="n">
        <v>32</v>
      </c>
      <c r="F153" s="11" t="n">
        <v>40</v>
      </c>
      <c r="G153" s="11" t="n">
        <v>54</v>
      </c>
      <c r="H153" s="11" t="n">
        <v>48</v>
      </c>
      <c r="I153" s="11" t="n">
        <v>50</v>
      </c>
      <c r="J153" s="11" t="n">
        <v>50</v>
      </c>
      <c r="K153" s="36">
        <f>E153*0.105+F153*0.158+G153*0.421+H153*0.053+I153*0.137+J153*0.126</f>
        <v/>
      </c>
      <c r="L153" s="17" t="inlineStr">
        <is>
          <t>REDUCE</t>
        </is>
      </c>
      <c r="M153" s="37" t="inlineStr">
        <is>
          <t>REDUCIR BABA | Score: 38/100 | Precio: $173.23 → Target: $196.49 (Upside: +13%) | DEBILIDADES: valoración cara (P/E 19.5x, EV/EBITDA 20.1x)</t>
        </is>
      </c>
    </row>
    <row r="154">
      <c r="A154" s="5" t="inlineStr">
        <is>
          <t>SSNLF</t>
        </is>
      </c>
      <c r="B154" s="6" t="n">
        <v>65.20999999999999</v>
      </c>
      <c r="C154" s="6" t="n"/>
      <c r="D154" s="6" t="n">
        <v>0</v>
      </c>
      <c r="E154" s="14" t="n">
        <v>87</v>
      </c>
      <c r="F154" s="11" t="n">
        <v>50</v>
      </c>
      <c r="G154" s="17" t="n">
        <v>15</v>
      </c>
      <c r="H154" s="17" t="n">
        <v>27</v>
      </c>
      <c r="I154" s="11" t="n">
        <v>50</v>
      </c>
      <c r="J154" s="11" t="n">
        <v>50</v>
      </c>
      <c r="K154" s="36">
        <f>E154*0.105+F154*0.158+G154*0.421+H154*0.053+I154*0.137+J154*0.126</f>
        <v/>
      </c>
      <c r="L154" s="17" t="inlineStr">
        <is>
          <t>REDUCE</t>
        </is>
      </c>
      <c r="M154" s="37" t="inlineStr">
        <is>
          <t>REDUCIR SSNLF | Score: 38/100 | FORTALEZAS: valoración atractiva (P/E 14.7x, EV/EBITDA -1.1x) | DEBILIDADES: momentum débil (retorno 12M: -100.3%); alta volatilidad (beta 0.83, vol 204.4%)</t>
        </is>
      </c>
    </row>
    <row r="155">
      <c r="A155" s="5" t="inlineStr">
        <is>
          <t>BRBY.L</t>
        </is>
      </c>
      <c r="B155" s="6" t="n">
        <v>1195.5</v>
      </c>
      <c r="C155" s="6" t="n">
        <v>1338.95</v>
      </c>
      <c r="D155" s="24" t="n">
        <v>12</v>
      </c>
      <c r="E155" s="11" t="n">
        <v>42</v>
      </c>
      <c r="F155" s="17" t="n">
        <v>10</v>
      </c>
      <c r="G155" s="9" t="n">
        <v>38</v>
      </c>
      <c r="H155" s="11" t="n">
        <v>43</v>
      </c>
      <c r="I155" s="11" t="n">
        <v>50</v>
      </c>
      <c r="J155" s="11" t="n">
        <v>50</v>
      </c>
      <c r="K155" s="36">
        <f>E155*0.105+F155*0.158+G155*0.421+H155*0.053+I155*0.137+J155*0.126</f>
        <v/>
      </c>
      <c r="L155" s="17" t="inlineStr">
        <is>
          <t>REDUCE</t>
        </is>
      </c>
      <c r="M155" s="37" t="inlineStr">
        <is>
          <t>REDUCIR BRBY.L | Score: 37/100 | Precio: $1195.50 → Target: $1338.95 (Upside: +12%) | DEBILIDADES: baja calidad operativa (ROE bajo, márgenes débiles)</t>
        </is>
      </c>
    </row>
    <row r="156">
      <c r="A156" s="5" t="inlineStr">
        <is>
          <t>PYPL</t>
        </is>
      </c>
      <c r="B156" s="6" t="n">
        <v>56.62</v>
      </c>
      <c r="C156" s="6" t="n">
        <v>73.33</v>
      </c>
      <c r="D156" s="24" t="n">
        <v>29.5</v>
      </c>
      <c r="E156" s="14" t="n">
        <v>77</v>
      </c>
      <c r="F156" s="15" t="n">
        <v>60</v>
      </c>
      <c r="G156" s="17" t="n">
        <v>11</v>
      </c>
      <c r="H156" s="17" t="n">
        <v>28</v>
      </c>
      <c r="I156" s="11" t="n">
        <v>50</v>
      </c>
      <c r="J156" s="11" t="n">
        <v>50</v>
      </c>
      <c r="K156" s="36">
        <f>E156*0.105+F156*0.158+G156*0.421+H156*0.053+I156*0.137+J156*0.126</f>
        <v/>
      </c>
      <c r="L156" s="17" t="inlineStr">
        <is>
          <t>REDUCE</t>
        </is>
      </c>
      <c r="M156" s="37" t="inlineStr">
        <is>
          <t>REDUCIR PYPL | Score: 37/100 | Precio: $56.62 → Target: $73.33 (Upside: +30%) | FORTALEZAS: valoración atractiva (P/E 9.8x, EV/EBITDA 8.2x) | DEBILIDADES: momentum débil (retorno 12M: -36.3%); alta volatilidad (beta 1.43, vol 37.3%)</t>
        </is>
      </c>
    </row>
    <row r="157">
      <c r="A157" s="5" t="inlineStr">
        <is>
          <t>ORSTED.CO</t>
        </is>
      </c>
      <c r="B157" s="6" t="n">
        <v>137.75</v>
      </c>
      <c r="C157" s="6" t="n">
        <v>142.46</v>
      </c>
      <c r="D157" s="6" t="n">
        <v>3.4</v>
      </c>
      <c r="E157" s="11" t="n">
        <v>47</v>
      </c>
      <c r="F157" s="17" t="n">
        <v>14</v>
      </c>
      <c r="G157" s="9" t="n">
        <v>34</v>
      </c>
      <c r="H157" s="9" t="n">
        <v>34</v>
      </c>
      <c r="I157" s="11" t="n">
        <v>50</v>
      </c>
      <c r="J157" s="11" t="n">
        <v>50</v>
      </c>
      <c r="K157" s="36">
        <f>E157*0.105+F157*0.158+G157*0.421+H157*0.053+I157*0.137+J157*0.126</f>
        <v/>
      </c>
      <c r="L157" s="17" t="inlineStr">
        <is>
          <t>REDUCE</t>
        </is>
      </c>
      <c r="M157" s="37" t="inlineStr">
        <is>
          <t>REDUCIR ORSTED.CO | Score: 37/100 | Precio: $137.75 → Target: $142.46 (Upside: +3%) | DEBILIDADES: baja calidad operativa (ROE bajo, márgenes débiles); momentum débil (retorno 12M: -46.4%); alta volatilidad (beta 0.62, vol 70.1%)</t>
        </is>
      </c>
    </row>
    <row r="158">
      <c r="A158" s="5" t="inlineStr">
        <is>
          <t>MELI</t>
        </is>
      </c>
      <c r="B158" s="6" t="n">
        <v>2137.29</v>
      </c>
      <c r="C158" s="6" t="n">
        <v>2817</v>
      </c>
      <c r="D158" s="24" t="n">
        <v>31.8</v>
      </c>
      <c r="E158" s="17" t="n">
        <v>13</v>
      </c>
      <c r="F158" s="11" t="n">
        <v>49</v>
      </c>
      <c r="G158" s="9" t="n">
        <v>30</v>
      </c>
      <c r="H158" s="17" t="n">
        <v>27</v>
      </c>
      <c r="I158" s="11" t="n">
        <v>50</v>
      </c>
      <c r="J158" s="11" t="n">
        <v>50</v>
      </c>
      <c r="K158" s="36">
        <f>E158*0.105+F158*0.158+G158*0.421+H158*0.053+I158*0.137+J158*0.126</f>
        <v/>
      </c>
      <c r="L158" s="17" t="inlineStr">
        <is>
          <t>REDUCE</t>
        </is>
      </c>
      <c r="M158" s="37" t="inlineStr">
        <is>
          <t>REDUCIR MELI | Score: 37/100 | Precio: $2137.29 → Target: $2817.00 (Upside: +32%) | DEBILIDADES: valoración cara (P/E 35.9x, EV/EBITDA 29.5x); momentum débil (retorno 12M: 15.9%); alta volatilidad (beta 1.42, vol 38.3%)</t>
        </is>
      </c>
    </row>
    <row r="159">
      <c r="A159" s="5" t="inlineStr">
        <is>
          <t>PDD</t>
        </is>
      </c>
      <c r="B159" s="6" t="n">
        <v>106.38</v>
      </c>
      <c r="C159" s="6" t="n">
        <v>148.64</v>
      </c>
      <c r="D159" s="24" t="n">
        <v>39.7</v>
      </c>
      <c r="E159" s="14" t="n">
        <v>89</v>
      </c>
      <c r="F159" s="14" t="n">
        <v>75</v>
      </c>
      <c r="G159" s="17" t="n">
        <v>19</v>
      </c>
      <c r="H159" s="15" t="n">
        <v>68</v>
      </c>
      <c r="I159" s="11" t="n">
        <v>50</v>
      </c>
      <c r="J159" s="11" t="n">
        <v>50</v>
      </c>
      <c r="K159" s="36">
        <f>E159*0.105+F159*0.158+G159*0.421+H159*0.053+I159*0.137+J159*0.126</f>
        <v/>
      </c>
      <c r="L159" s="17" t="inlineStr">
        <is>
          <t>REDUCE</t>
        </is>
      </c>
      <c r="M159" s="37" t="inlineStr">
        <is>
          <t>REDUCIR PDD | Score: 36/100 | Precio: $106.38 → Target: $148.64 (Upside: +40%) | FORTALEZAS: valoración atractiva (P/E 8.5x, EV/EBITDA 2.0x); alta calidad (ROE 30.5%, margen 23.1%); baja volatilidad (beta 0.01, vol 39.9%) | DEBILIDADES: momentum débil (retorno 12M: -4.5%) | ESTRATEGIA: Largo plazo (value-quality) - empresa dominante a buen precio</t>
        </is>
      </c>
    </row>
    <row r="160">
      <c r="A160" s="5" t="inlineStr">
        <is>
          <t>QCOM</t>
        </is>
      </c>
      <c r="B160" s="6" t="n">
        <v>155.82</v>
      </c>
      <c r="C160" s="6" t="n">
        <v>191.35</v>
      </c>
      <c r="D160" s="24" t="n">
        <v>22.8</v>
      </c>
      <c r="E160" s="15" t="n">
        <v>67</v>
      </c>
      <c r="F160" s="15" t="n">
        <v>62</v>
      </c>
      <c r="G160" s="17" t="n">
        <v>10</v>
      </c>
      <c r="H160" s="9" t="n">
        <v>33</v>
      </c>
      <c r="I160" s="11" t="n">
        <v>50</v>
      </c>
      <c r="J160" s="11" t="n">
        <v>50</v>
      </c>
      <c r="K160" s="36">
        <f>E160*0.105+F160*0.158+G160*0.421+H160*0.053+I160*0.137+J160*0.126</f>
        <v/>
      </c>
      <c r="L160" s="17" t="inlineStr">
        <is>
          <t>REDUCE</t>
        </is>
      </c>
      <c r="M160" s="37" t="inlineStr">
        <is>
          <t>REDUCIR QCOM | Score: 36/100 | Precio: $155.82 → Target: $191.35 (Upside: +23%) | FORTALEZAS: valoración atractiva (P/E 12.6x, EV/EBITDA 12.3x) | DEBILIDADES: momentum débil (retorno 12M: -7.4%); alta volatilidad (beta 1.21, vol 38.7%)</t>
        </is>
      </c>
    </row>
    <row r="161">
      <c r="A161" s="5" t="inlineStr">
        <is>
          <t>PATH</t>
        </is>
      </c>
      <c r="B161" s="6" t="n">
        <v>14.8</v>
      </c>
      <c r="C161" s="6" t="n">
        <v>16.4</v>
      </c>
      <c r="D161" s="24" t="n">
        <v>10.8</v>
      </c>
      <c r="E161" s="11" t="n">
        <v>42</v>
      </c>
      <c r="F161" s="11" t="n">
        <v>48</v>
      </c>
      <c r="G161" s="17" t="n">
        <v>22</v>
      </c>
      <c r="H161" s="17" t="n">
        <v>23</v>
      </c>
      <c r="I161" s="11" t="n">
        <v>50</v>
      </c>
      <c r="J161" s="11" t="n">
        <v>50</v>
      </c>
      <c r="K161" s="36">
        <f>E161*0.105+F161*0.158+G161*0.421+H161*0.053+I161*0.137+J161*0.126</f>
        <v/>
      </c>
      <c r="L161" s="17" t="inlineStr">
        <is>
          <t>REDUCE</t>
        </is>
      </c>
      <c r="M161" s="37" t="inlineStr">
        <is>
          <t>REDUCIR PATH | Score: 36/100 | Precio: $14.80 → Target: $16.40 (Upside: +11%) | DEBILIDADES: momentum débil (retorno 12M: 6.3%); alta volatilidad (beta 1.08, vol 62.3%)</t>
        </is>
      </c>
    </row>
    <row r="162">
      <c r="A162" s="5" t="inlineStr">
        <is>
          <t>GRAB</t>
        </is>
      </c>
      <c r="B162" s="6" t="n">
        <v>4.58</v>
      </c>
      <c r="C162" s="6" t="n">
        <v>6.83</v>
      </c>
      <c r="D162" s="24" t="n">
        <v>49.1</v>
      </c>
      <c r="E162" s="17" t="n">
        <v>18</v>
      </c>
      <c r="F162" s="9" t="n">
        <v>39</v>
      </c>
      <c r="G162" s="17" t="n">
        <v>29</v>
      </c>
      <c r="H162" s="9" t="n">
        <v>34</v>
      </c>
      <c r="I162" s="11" t="n">
        <v>50</v>
      </c>
      <c r="J162" s="11" t="n">
        <v>50</v>
      </c>
      <c r="K162" s="36">
        <f>E162*0.105+F162*0.158+G162*0.421+H162*0.053+I162*0.137+J162*0.126</f>
        <v/>
      </c>
      <c r="L162" s="17" t="inlineStr">
        <is>
          <t>REDUCE</t>
        </is>
      </c>
      <c r="M162" s="37" t="inlineStr">
        <is>
          <t>REDUCIR GRAB | Score: 35/100 | Precio: $4.58 → Target: $6.83 (Upside: +49%) | DEBILIDADES: valoración cara (P/E 44.2x, EV/EBITDA 72.2x); momentum débil (retorno 12M: 0.2%); alta volatilidad (beta 0.90, vol 51.9%)</t>
        </is>
      </c>
    </row>
    <row r="163">
      <c r="A163" s="5" t="inlineStr">
        <is>
          <t>SE</t>
        </is>
      </c>
      <c r="B163" s="6" t="n">
        <v>124.78</v>
      </c>
      <c r="C163" s="6" t="n">
        <v>190.04</v>
      </c>
      <c r="D163" s="24" t="n">
        <v>52.3</v>
      </c>
      <c r="E163" s="17" t="n">
        <v>23</v>
      </c>
      <c r="F163" s="11" t="n">
        <v>52</v>
      </c>
      <c r="G163" s="17" t="n">
        <v>25</v>
      </c>
      <c r="H163" s="17" t="n">
        <v>15</v>
      </c>
      <c r="I163" s="11" t="n">
        <v>50</v>
      </c>
      <c r="J163" s="11" t="n">
        <v>50</v>
      </c>
      <c r="K163" s="36">
        <f>E163*0.105+F163*0.158+G163*0.421+H163*0.053+I163*0.137+J163*0.126</f>
        <v/>
      </c>
      <c r="L163" s="17" t="inlineStr">
        <is>
          <t>REDUCE</t>
        </is>
      </c>
      <c r="M163" s="37" t="inlineStr">
        <is>
          <t>REDUCIR SE | Score: 35/100 | Precio: $124.78 → Target: $190.04 (Upside: +52%) | DEBILIDADES: valoración cara (P/E 25.0x, EV/EBITDA 38.3x); momentum débil (retorno 12M: 5.9%); alta volatilidad (beta 1.57, vol 49.9%)</t>
        </is>
      </c>
    </row>
    <row r="164">
      <c r="A164" s="5" t="inlineStr">
        <is>
          <t>AMZN</t>
        </is>
      </c>
      <c r="B164" s="6" t="n">
        <v>239.16</v>
      </c>
      <c r="C164" s="6" t="n">
        <v>295.61</v>
      </c>
      <c r="D164" s="24" t="n">
        <v>23.6</v>
      </c>
      <c r="E164" s="17" t="n">
        <v>30</v>
      </c>
      <c r="F164" s="11" t="n">
        <v>51</v>
      </c>
      <c r="G164" s="17" t="n">
        <v>21</v>
      </c>
      <c r="H164" s="9" t="n">
        <v>33</v>
      </c>
      <c r="I164" s="11" t="n">
        <v>50</v>
      </c>
      <c r="J164" s="11" t="n">
        <v>50</v>
      </c>
      <c r="K164" s="36">
        <f>E164*0.105+F164*0.158+G164*0.421+H164*0.053+I164*0.137+J164*0.126</f>
        <v/>
      </c>
      <c r="L164" s="17" t="inlineStr">
        <is>
          <t>REDUCE</t>
        </is>
      </c>
      <c r="M164" s="37" t="inlineStr">
        <is>
          <t>REDUCIR AMZN | Score: 35/100 | Precio: $239.16 → Target: $295.61 (Upside: +24%) | DEBILIDADES: valoración cara (P/E 30.4x, EV/EBITDA 18.8x); momentum débil (retorno 12M: 1.8%); alta volatilidad (beta 1.38, vol 34.7%)</t>
        </is>
      </c>
    </row>
    <row r="165">
      <c r="A165" s="5" t="inlineStr">
        <is>
          <t>MSFT</t>
        </is>
      </c>
      <c r="B165" s="6" t="n">
        <v>465.95</v>
      </c>
      <c r="C165" s="6" t="n">
        <v>617.86</v>
      </c>
      <c r="D165" s="24" t="n">
        <v>32.6</v>
      </c>
      <c r="E165" s="9" t="n">
        <v>33</v>
      </c>
      <c r="F165" s="14" t="n">
        <v>79</v>
      </c>
      <c r="G165" s="17" t="n">
        <v>22</v>
      </c>
      <c r="H165" s="15" t="n">
        <v>61</v>
      </c>
      <c r="I165" s="17" t="n">
        <v>0</v>
      </c>
      <c r="J165" s="11" t="n">
        <v>50</v>
      </c>
      <c r="K165" s="36">
        <f>E165*0.105+F165*0.158+G165*0.421+H165*0.053+I165*0.137+J165*0.126</f>
        <v/>
      </c>
      <c r="L165" s="17" t="inlineStr">
        <is>
          <t>REDUCE</t>
        </is>
      </c>
      <c r="M165" s="37" t="inlineStr">
        <is>
          <t>REDUCIR MSFT | Score: 35/100 | Precio: $465.95 → Target: $617.86 (Upside: +33%) | FORTALEZAS: alta calidad (ROE 32.2%, margen 48.9%) | DEBILIDADES: valoración cara (P/E 24.9x, EV/EBITDA 20.9x); momentum débil (retorno 12M: 5.7%); congresistas vendiendo</t>
        </is>
      </c>
    </row>
    <row r="166">
      <c r="A166" s="5" t="inlineStr">
        <is>
          <t>SNOW</t>
        </is>
      </c>
      <c r="B166" s="6" t="n">
        <v>209.69</v>
      </c>
      <c r="C166" s="6" t="n">
        <v>282.9</v>
      </c>
      <c r="D166" s="24" t="n">
        <v>34.9</v>
      </c>
      <c r="E166" s="11" t="n">
        <v>47</v>
      </c>
      <c r="F166" s="17" t="n">
        <v>18</v>
      </c>
      <c r="G166" s="17" t="n">
        <v>29</v>
      </c>
      <c r="H166" s="17" t="n">
        <v>26</v>
      </c>
      <c r="I166" s="11" t="n">
        <v>50</v>
      </c>
      <c r="J166" s="11" t="n">
        <v>50</v>
      </c>
      <c r="K166" s="36">
        <f>E166*0.105+F166*0.158+G166*0.421+H166*0.053+I166*0.137+J166*0.126</f>
        <v/>
      </c>
      <c r="L166" s="17" t="inlineStr">
        <is>
          <t>REDUCE</t>
        </is>
      </c>
      <c r="M166" s="37" t="inlineStr">
        <is>
          <t>REDUCIR SNOW | Score: 34/100 | Precio: $209.69 → Target: $282.90 (Upside: +35%) | DEBILIDADES: baja calidad operativa (ROE bajo, márgenes débiles); momentum débil (retorno 12M: 20.4%); alta volatilidad (beta 1.14, vol 49.8%)</t>
        </is>
      </c>
    </row>
    <row r="167">
      <c r="A167" s="5" t="inlineStr">
        <is>
          <t>AFRM</t>
        </is>
      </c>
      <c r="B167" s="6" t="n">
        <v>71.43000000000001</v>
      </c>
      <c r="C167" s="6" t="n">
        <v>92.34</v>
      </c>
      <c r="D167" s="24" t="n">
        <v>29.3</v>
      </c>
      <c r="E167" s="17" t="n">
        <v>27</v>
      </c>
      <c r="F167" s="17" t="n">
        <v>15</v>
      </c>
      <c r="G167" s="9" t="n">
        <v>37</v>
      </c>
      <c r="H167" s="17" t="n">
        <v>2</v>
      </c>
      <c r="I167" s="11" t="n">
        <v>50</v>
      </c>
      <c r="J167" s="11" t="n">
        <v>50</v>
      </c>
      <c r="K167" s="36">
        <f>E167*0.105+F167*0.158+G167*0.421+H167*0.053+I167*0.137+J167*0.126</f>
        <v/>
      </c>
      <c r="L167" s="17" t="inlineStr">
        <is>
          <t>REDUCE</t>
        </is>
      </c>
      <c r="M167" s="37" t="inlineStr">
        <is>
          <t>REDUCIR AFRM | Score: 34/100 | Precio: $71.43 → Target: $92.34 (Upside: +29%) | DEBILIDADES: valoración cara (P/E 19.3x, EV/EBITDA 76.3x); baja calidad operativa (ROE bajo, márgenes débiles); alta volatilidad (beta 3.57, vol 75.2%)</t>
        </is>
      </c>
    </row>
    <row r="168">
      <c r="A168" s="5" t="inlineStr">
        <is>
          <t>SAP</t>
        </is>
      </c>
      <c r="B168" s="6" t="n">
        <v>231.07</v>
      </c>
      <c r="C168" s="6" t="n">
        <v>336</v>
      </c>
      <c r="D168" s="24" t="n">
        <v>45.4</v>
      </c>
      <c r="E168" s="9" t="n">
        <v>32</v>
      </c>
      <c r="F168" s="15" t="n">
        <v>61</v>
      </c>
      <c r="G168" s="17" t="n">
        <v>10</v>
      </c>
      <c r="H168" s="15" t="n">
        <v>63</v>
      </c>
      <c r="I168" s="11" t="n">
        <v>50</v>
      </c>
      <c r="J168" s="11" t="n">
        <v>50</v>
      </c>
      <c r="K168" s="36">
        <f>E168*0.105+F168*0.158+G168*0.421+H168*0.053+I168*0.137+J168*0.126</f>
        <v/>
      </c>
      <c r="L168" s="17" t="inlineStr">
        <is>
          <t>REDUCE</t>
        </is>
      </c>
      <c r="M168" s="37" t="inlineStr">
        <is>
          <t>REDUCIR SAP | Score: 34/100 | Precio: $231.07 → Target: $336.00 (Upside: +45%) | DEBILIDADES: valoración cara (P/E 27.3x, EV/EBITDA 24.8x); momentum débil (retorno 12M: -15.6%)</t>
        </is>
      </c>
    </row>
    <row r="169">
      <c r="A169" s="5" t="inlineStr">
        <is>
          <t>SSNLF</t>
        </is>
      </c>
      <c r="B169" s="6" t="n">
        <v>65.20999999999999</v>
      </c>
      <c r="C169" s="6" t="n"/>
      <c r="D169" s="6" t="n">
        <v>0</v>
      </c>
      <c r="E169" s="14" t="n">
        <v>87</v>
      </c>
      <c r="F169" s="11" t="n">
        <v>49</v>
      </c>
      <c r="G169" s="17" t="n">
        <v>3</v>
      </c>
      <c r="H169" s="17" t="n">
        <v>26</v>
      </c>
      <c r="I169" s="11" t="n">
        <v>50</v>
      </c>
      <c r="J169" s="11" t="n">
        <v>50</v>
      </c>
      <c r="K169" s="36">
        <f>E169*0.105+F169*0.158+G169*0.421+H169*0.053+I169*0.137+J169*0.126</f>
        <v/>
      </c>
      <c r="L169" s="17" t="inlineStr">
        <is>
          <t>REDUCE</t>
        </is>
      </c>
      <c r="M169" s="37" t="inlineStr">
        <is>
          <t>REDUCIR SSNLF | Score: 33/100 | FORTALEZAS: valoración atractiva (P/E 14.7x, EV/EBITDA -1.1x) | DEBILIDADES: momentum débil (retorno 12M: -100.3%); alta volatilidad (beta 0.83, vol 204.4%)</t>
        </is>
      </c>
    </row>
    <row r="170">
      <c r="A170" s="5" t="inlineStr">
        <is>
          <t>CRM</t>
        </is>
      </c>
      <c r="B170" s="6" t="n">
        <v>228.05</v>
      </c>
      <c r="C170" s="6" t="n">
        <v>329.65</v>
      </c>
      <c r="D170" s="24" t="n">
        <v>44.6</v>
      </c>
      <c r="E170" s="11" t="n">
        <v>60</v>
      </c>
      <c r="F170" s="11" t="n">
        <v>52</v>
      </c>
      <c r="G170" s="17" t="n">
        <v>6</v>
      </c>
      <c r="H170" s="9" t="n">
        <v>37</v>
      </c>
      <c r="I170" s="11" t="n">
        <v>50</v>
      </c>
      <c r="J170" s="11" t="n">
        <v>50</v>
      </c>
      <c r="K170" s="36">
        <f>E170*0.105+F170*0.158+G170*0.421+H170*0.053+I170*0.137+J170*0.126</f>
        <v/>
      </c>
      <c r="L170" s="17" t="inlineStr">
        <is>
          <t>REDUCE</t>
        </is>
      </c>
      <c r="M170" s="37" t="inlineStr">
        <is>
          <t>REDUCIR CRM | Score: 32/100 | Precio: $228.05 → Target: $329.65 (Upside: +45%) | DEBILIDADES: momentum débil (retorno 12M: -31.3%)</t>
        </is>
      </c>
    </row>
    <row r="171">
      <c r="A171" s="5" t="inlineStr">
        <is>
          <t>ORCL</t>
        </is>
      </c>
      <c r="B171" s="6" t="n">
        <v>177.16</v>
      </c>
      <c r="C171" s="6" t="n">
        <v>288.26</v>
      </c>
      <c r="D171" s="24" t="n">
        <v>62.7</v>
      </c>
      <c r="E171" s="17" t="n">
        <v>27</v>
      </c>
      <c r="F171" s="11" t="n">
        <v>60</v>
      </c>
      <c r="G171" s="17" t="n">
        <v>13</v>
      </c>
      <c r="H171" s="17" t="n">
        <v>10</v>
      </c>
      <c r="I171" s="11" t="n">
        <v>50</v>
      </c>
      <c r="J171" s="11" t="n">
        <v>50</v>
      </c>
      <c r="K171" s="36">
        <f>E171*0.105+F171*0.158+G171*0.421+H171*0.053+I171*0.137+J171*0.126</f>
        <v/>
      </c>
      <c r="L171" s="17" t="inlineStr">
        <is>
          <t>REDUCE</t>
        </is>
      </c>
      <c r="M171" s="37" t="inlineStr">
        <is>
          <t>REDUCIR ORCL | Score: 31/100 | Precio: $177.16 → Target: $288.26 (Upside: +63%) | DEBILIDADES: valoración cara (P/E 22.3x, EV/EBITDA 23.7x); momentum débil (retorno 12M: -2.5%); alta volatilidad (beta 1.65, vol 61.6%)</t>
        </is>
      </c>
    </row>
    <row r="172">
      <c r="A172" s="5" t="inlineStr">
        <is>
          <t>NOW</t>
        </is>
      </c>
      <c r="B172" s="6" t="n">
        <v>133.11</v>
      </c>
      <c r="C172" s="6" t="n">
        <v>208.37</v>
      </c>
      <c r="D172" s="24" t="n">
        <v>56.5</v>
      </c>
      <c r="E172" s="17" t="n">
        <v>25</v>
      </c>
      <c r="F172" s="11" t="n">
        <v>60</v>
      </c>
      <c r="G172" s="17" t="n">
        <v>6</v>
      </c>
      <c r="H172" s="9" t="n">
        <v>39</v>
      </c>
      <c r="I172" s="11" t="n">
        <v>50</v>
      </c>
      <c r="J172" s="11" t="n">
        <v>50</v>
      </c>
      <c r="K172" s="36">
        <f>E172*0.105+F172*0.158+G172*0.421+H172*0.053+I172*0.137+J172*0.126</f>
        <v/>
      </c>
      <c r="L172" s="17" t="inlineStr">
        <is>
          <t>SELL</t>
        </is>
      </c>
      <c r="M172" s="37" t="inlineStr">
        <is>
          <t>VENDER NOW | Score: 30/100 | Precio: $133.11 → Target: $208.37 (Upside: +57%) | DEBILIDADES: valoración cara (P/E 32.7x, EV/EBITDA 54.1x); momentum débil (retorno 12M: -40.8%)</t>
        </is>
      </c>
    </row>
    <row r="173">
      <c r="A173" s="5" t="inlineStr">
        <is>
          <t>XPEV</t>
        </is>
      </c>
      <c r="B173" s="6" t="n">
        <v>19.25</v>
      </c>
      <c r="C173" s="6" t="n">
        <v>28.16</v>
      </c>
      <c r="D173" s="24" t="n">
        <v>46.3</v>
      </c>
      <c r="E173" s="11" t="n">
        <v>51</v>
      </c>
      <c r="F173" s="17" t="n">
        <v>20</v>
      </c>
      <c r="G173" s="11" t="n">
        <v>40</v>
      </c>
      <c r="H173" s="17" t="n">
        <v>20</v>
      </c>
      <c r="I173" s="11" t="n">
        <v>50</v>
      </c>
      <c r="J173" s="11" t="n">
        <v>50</v>
      </c>
      <c r="K173" s="36">
        <f>E173*0.105+F173*0.158+G173*0.421+H173*0.053+I173*0.137+J173*0.126</f>
        <v/>
      </c>
      <c r="L173" s="17" t="inlineStr">
        <is>
          <t>SELL</t>
        </is>
      </c>
      <c r="M173" s="37" t="inlineStr">
        <is>
          <t>VENDER XPEV | Score: 30/100 | Precio: $19.25 → Target: $28.16 (Upside: +46%) | DEBILIDADES: baja calidad operativa (ROE bajo, márgenes débiles); alta volatilidad (beta 1.13, vol 66.1%)</t>
        </is>
      </c>
    </row>
    <row r="174">
      <c r="A174" s="5" t="inlineStr">
        <is>
          <t>XYZ</t>
        </is>
      </c>
      <c r="B174" s="6" t="n">
        <v>66.83</v>
      </c>
      <c r="C174" s="6" t="n">
        <v>84.45</v>
      </c>
      <c r="D174" s="24" t="n">
        <v>26.4</v>
      </c>
      <c r="E174" s="9" t="n">
        <v>31</v>
      </c>
      <c r="F174" s="11" t="n">
        <v>46</v>
      </c>
      <c r="G174" s="17" t="n">
        <v>12</v>
      </c>
      <c r="H174" s="17" t="n">
        <v>9</v>
      </c>
      <c r="I174" s="11" t="n">
        <v>50</v>
      </c>
      <c r="J174" s="11" t="n">
        <v>50</v>
      </c>
      <c r="K174" s="36">
        <f>E174*0.105+F174*0.158+G174*0.421+H174*0.053+I174*0.137+J174*0.126</f>
        <v/>
      </c>
      <c r="L174" s="17" t="inlineStr">
        <is>
          <t>SELL</t>
        </is>
      </c>
      <c r="M174" s="37" t="inlineStr">
        <is>
          <t>VENDER XYZ | Score: 29/100 | Precio: $66.83 → Target: $84.45 (Upside: +26%) | DEBILIDADES: valoración cara (P/E 20.5x, EV/EBITDA 23.9x); momentum débil (retorno 12M: -24.6%); alta volatilidad (beta 2.67, vol 53.4%)</t>
        </is>
      </c>
    </row>
    <row r="175">
      <c r="A175" s="5" t="inlineStr">
        <is>
          <t>NIO</t>
        </is>
      </c>
      <c r="B175" s="6" t="n">
        <v>4.64</v>
      </c>
      <c r="C175" s="6" t="n">
        <v>6.65</v>
      </c>
      <c r="D175" s="24" t="n">
        <v>43.3</v>
      </c>
      <c r="E175" s="14" t="n">
        <v>80</v>
      </c>
      <c r="F175" s="17" t="n">
        <v>18</v>
      </c>
      <c r="G175" s="17" t="n">
        <v>29</v>
      </c>
      <c r="H175" s="17" t="n">
        <v>23</v>
      </c>
      <c r="I175" s="11" t="n">
        <v>50</v>
      </c>
      <c r="J175" s="11" t="n">
        <v>50</v>
      </c>
      <c r="K175" s="36">
        <f>E175*0.105+F175*0.158+G175*0.421+H175*0.053+I175*0.137+J175*0.126</f>
        <v/>
      </c>
      <c r="L175" s="17" t="inlineStr">
        <is>
          <t>SELL</t>
        </is>
      </c>
      <c r="M175" s="37" t="inlineStr">
        <is>
          <t>VENDER NIO | Score: 28/100 | Precio: $4.64 → Target: $6.65 (Upside: +43%) | FORTALEZAS: valoración atractiva (P/E -9.4x, EV/EBITDA -1.8x) | DEBILIDADES: baja calidad operativa (ROE bajo, márgenes débiles); momentum débil (retorno 12M: 8.2%); alta volatilidad (beta 1.06, vol 63.8%)</t>
        </is>
      </c>
    </row>
    <row r="176">
      <c r="A176" s="5" t="inlineStr">
        <is>
          <t>DDOG</t>
        </is>
      </c>
      <c r="B176" s="6" t="n">
        <v>130.13</v>
      </c>
      <c r="C176" s="6" t="n">
        <v>198.37</v>
      </c>
      <c r="D176" s="24" t="n">
        <v>52.4</v>
      </c>
      <c r="E176" s="17" t="n">
        <v>15</v>
      </c>
      <c r="F176" s="9" t="n">
        <v>39</v>
      </c>
      <c r="G176" s="17" t="n">
        <v>13</v>
      </c>
      <c r="H176" s="17" t="n">
        <v>22</v>
      </c>
      <c r="I176" s="11" t="n">
        <v>50</v>
      </c>
      <c r="J176" s="11" t="n">
        <v>50</v>
      </c>
      <c r="K176" s="36">
        <f>E176*0.105+F176*0.158+G176*0.421+H176*0.053+I176*0.137+J176*0.126</f>
        <v/>
      </c>
      <c r="L176" s="17" t="inlineStr">
        <is>
          <t>SELL</t>
        </is>
      </c>
      <c r="M176" s="37" t="inlineStr">
        <is>
          <t>VENDER DDOG | Score: 28/100 | Precio: $130.13 → Target: $198.37 (Upside: +52%) | DEBILIDADES: valoración cara (P/E 55.7x, EV/EBITDA 6871.0x); momentum débil (retorno 12M: -7.7%); alta volatilidad (beta 1.26, vol 50.7%)</t>
        </is>
      </c>
    </row>
    <row r="177">
      <c r="A177" s="5" t="inlineStr">
        <is>
          <t>AI</t>
        </is>
      </c>
      <c r="B177" s="6" t="n">
        <v>12.69</v>
      </c>
      <c r="C177" s="6" t="n">
        <v>14.67</v>
      </c>
      <c r="D177" s="24" t="n">
        <v>15.6</v>
      </c>
      <c r="E177" s="14" t="n">
        <v>76</v>
      </c>
      <c r="F177" s="17" t="n">
        <v>18</v>
      </c>
      <c r="G177" s="17" t="n">
        <v>7</v>
      </c>
      <c r="H177" s="17" t="n">
        <v>6</v>
      </c>
      <c r="I177" s="11" t="n">
        <v>50</v>
      </c>
      <c r="J177" s="11" t="n">
        <v>50</v>
      </c>
      <c r="K177" s="36">
        <f>E177*0.105+F177*0.158+G177*0.421+H177*0.053+I177*0.137+J177*0.126</f>
        <v/>
      </c>
      <c r="L177" s="17" t="inlineStr">
        <is>
          <t>SELL</t>
        </is>
      </c>
      <c r="M177" s="37" t="inlineStr">
        <is>
          <t>VENDER AI | Score: 27/100 | Precio: $12.69 → Target: $14.67 (Upside: +16%) | FORTALEZAS: valoración atractiva (P/E -13.3x, EV/EBITDA -2.9x) | DEBILIDADES: baja calidad operativa (ROE bajo, márgenes débiles); momentum débil (retorno 12M: -61.3%); alta volatilidad (beta 1.96, vol 64.5%)</t>
        </is>
      </c>
    </row>
    <row r="178">
      <c r="A178" s="5" t="inlineStr">
        <is>
          <t>JD</t>
        </is>
      </c>
      <c r="B178" s="6" t="n">
        <v>29.84</v>
      </c>
      <c r="C178" s="6" t="n">
        <v>40.92</v>
      </c>
      <c r="D178" s="24" t="n">
        <v>37.1</v>
      </c>
      <c r="E178" s="11" t="n">
        <v>57</v>
      </c>
      <c r="F178" s="11" t="n">
        <v>45</v>
      </c>
      <c r="G178" s="17" t="n">
        <v>14</v>
      </c>
      <c r="H178" s="11" t="n">
        <v>56</v>
      </c>
      <c r="I178" s="11" t="n">
        <v>50</v>
      </c>
      <c r="J178" s="11" t="n">
        <v>50</v>
      </c>
      <c r="K178" s="36">
        <f>E178*0.105+F178*0.158+G178*0.421+H178*0.053+I178*0.137+J178*0.126</f>
        <v/>
      </c>
      <c r="L178" s="17" t="inlineStr">
        <is>
          <t>SELL</t>
        </is>
      </c>
      <c r="M178" s="37" t="inlineStr">
        <is>
          <t>VENDER JD | Score: 25/100 | Precio: $29.84 → Target: $40.92 (Upside: +37%) | DEBILIDADES: momentum débil (retorno 12M: -24.6%)</t>
        </is>
      </c>
    </row>
    <row r="179">
      <c r="A179" s="5" t="inlineStr">
        <is>
          <t>LI</t>
        </is>
      </c>
      <c r="B179" s="6" t="n">
        <v>16.71</v>
      </c>
      <c r="C179" s="6" t="n">
        <v>23.86</v>
      </c>
      <c r="D179" s="24" t="n">
        <v>42.8</v>
      </c>
      <c r="E179" s="11" t="n">
        <v>48</v>
      </c>
      <c r="F179" s="9" t="n">
        <v>40</v>
      </c>
      <c r="G179" s="17" t="n">
        <v>15</v>
      </c>
      <c r="H179" s="11" t="n">
        <v>47</v>
      </c>
      <c r="I179" s="11" t="n">
        <v>50</v>
      </c>
      <c r="J179" s="11" t="n">
        <v>50</v>
      </c>
      <c r="K179" s="36">
        <f>E179*0.105+F179*0.158+G179*0.421+H179*0.053+I179*0.137+J179*0.126</f>
        <v/>
      </c>
      <c r="L179" s="17" t="inlineStr">
        <is>
          <t>SELL</t>
        </is>
      </c>
      <c r="M179" s="37" t="inlineStr">
        <is>
          <t>VENDER LI | Score: 23/100 | Precio: $16.71 → Target: $23.86 (Upside: +43%) | DEBILIDADES: momentum débil (retorno 12M: -28.0%)</t>
        </is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10" customWidth="1" min="4" max="4"/>
    <col width="18" customWidth="1" min="5" max="5"/>
    <col width="12" customWidth="1" min="6" max="6"/>
    <col width="10" customWidth="1" min="7" max="7"/>
    <col width="45" customWidth="1" min="8" max="8"/>
  </cols>
  <sheetData>
    <row r="1">
      <c r="A1" s="1" t="inlineStr">
        <is>
          <t>CONGRESS TRADES - Historial Completo de Operaciones</t>
        </is>
      </c>
    </row>
    <row r="2">
      <c r="A2" s="30" t="inlineStr">
        <is>
          <t>Congresistas de EEUU deben reportar sus trades. Pelosi, Tuberville y otros tienen track records notables.</t>
        </is>
      </c>
    </row>
    <row r="3">
      <c r="A3" s="38" t="inlineStr">
        <is>
          <t>Links: housestockwatcher.com (House) | senatestockwatcher.com (Senate)</t>
        </is>
      </c>
    </row>
    <row r="5">
      <c r="A5" s="39" t="inlineStr">
        <is>
          <t>TRADES RECIENTES DE CONGRESISTAS (ultimos 90 dias)</t>
        </is>
      </c>
    </row>
    <row r="7">
      <c r="A7" s="21" t="inlineStr">
        <is>
          <t>Ticker</t>
        </is>
      </c>
      <c r="B7" s="21" t="inlineStr">
        <is>
          <t>Politico</t>
        </is>
      </c>
      <c r="C7" s="21" t="inlineStr">
        <is>
          <t>Partido</t>
        </is>
      </c>
      <c r="D7" s="21" t="inlineStr">
        <is>
          <t>Accion</t>
        </is>
      </c>
      <c r="E7" s="21" t="inlineStr">
        <is>
          <t>Monto</t>
        </is>
      </c>
      <c r="F7" s="21" t="inlineStr">
        <is>
          <t>Fecha</t>
        </is>
      </c>
      <c r="G7" s="21" t="inlineStr">
        <is>
          <t>Camara</t>
        </is>
      </c>
      <c r="H7" s="21" t="inlineStr">
        <is>
          <t>Link</t>
        </is>
      </c>
    </row>
    <row r="8">
      <c r="A8" s="5" t="inlineStr">
        <is>
          <t>XOM</t>
        </is>
      </c>
      <c r="B8" s="6" t="inlineStr">
        <is>
          <t>Tommy Tuberville</t>
        </is>
      </c>
      <c r="C8" s="40" t="inlineStr">
        <is>
          <t>R</t>
        </is>
      </c>
      <c r="D8" s="24" t="inlineStr">
        <is>
          <t>COMPRA</t>
        </is>
      </c>
      <c r="E8" s="6" t="inlineStr"/>
      <c r="F8" s="6" t="inlineStr">
        <is>
          <t>2024-12-20</t>
        </is>
      </c>
      <c r="G8" s="6" t="inlineStr">
        <is>
          <t>senate</t>
        </is>
      </c>
      <c r="H8" s="41" t="inlineStr">
        <is>
          <t>https://housestockwatcher.com/summary_by_ticker/XOM</t>
        </is>
      </c>
    </row>
    <row r="9">
      <c r="A9" s="5" t="inlineStr">
        <is>
          <t>MSFT</t>
        </is>
      </c>
      <c r="B9" s="6" t="inlineStr">
        <is>
          <t>Dan Crenshaw</t>
        </is>
      </c>
      <c r="C9" s="40" t="inlineStr">
        <is>
          <t>R</t>
        </is>
      </c>
      <c r="D9" s="31" t="inlineStr">
        <is>
          <t>VENTA</t>
        </is>
      </c>
      <c r="E9" s="6" t="inlineStr"/>
      <c r="F9" s="6" t="inlineStr">
        <is>
          <t>2024-12-18</t>
        </is>
      </c>
      <c r="G9" s="6" t="inlineStr">
        <is>
          <t>house</t>
        </is>
      </c>
      <c r="H9" s="41" t="inlineStr">
        <is>
          <t>https://housestockwatcher.com/summary_by_ticker/MSFT</t>
        </is>
      </c>
    </row>
    <row r="10">
      <c r="A10" s="5" t="inlineStr">
        <is>
          <t>NVDA</t>
        </is>
      </c>
      <c r="B10" s="6" t="inlineStr">
        <is>
          <t>Nancy Pelosi</t>
        </is>
      </c>
      <c r="C10" s="42" t="inlineStr">
        <is>
          <t>D</t>
        </is>
      </c>
      <c r="D10" s="24" t="inlineStr">
        <is>
          <t>COMPRA</t>
        </is>
      </c>
      <c r="E10" s="6" t="inlineStr"/>
      <c r="F10" s="6" t="inlineStr">
        <is>
          <t>2024-12-15</t>
        </is>
      </c>
      <c r="G10" s="6" t="inlineStr">
        <is>
          <t>house</t>
        </is>
      </c>
      <c r="H10" s="41" t="inlineStr">
        <is>
          <t>https://housestockwatcher.com/summary_by_ticker/NVDA</t>
        </is>
      </c>
    </row>
    <row r="11">
      <c r="A11" s="5" t="inlineStr">
        <is>
          <t>GOOGL</t>
        </is>
      </c>
      <c r="B11" s="6" t="inlineStr">
        <is>
          <t>Nancy Pelosi</t>
        </is>
      </c>
      <c r="C11" s="42" t="inlineStr">
        <is>
          <t>D</t>
        </is>
      </c>
      <c r="D11" s="24" t="inlineStr">
        <is>
          <t>COMPRA</t>
        </is>
      </c>
      <c r="E11" s="6" t="inlineStr"/>
      <c r="F11" s="6" t="inlineStr">
        <is>
          <t>2024-12-10</t>
        </is>
      </c>
      <c r="G11" s="6" t="inlineStr">
        <is>
          <t>house</t>
        </is>
      </c>
      <c r="H11" s="41" t="inlineStr">
        <is>
          <t>https://housestockwatcher.com/summary_by_ticker/GOOGL</t>
        </is>
      </c>
    </row>
    <row r="14">
      <c r="A14" s="39" t="inlineStr">
        <is>
          <t>RESUMEN POR TICKER (nuestro universo)</t>
        </is>
      </c>
    </row>
    <row r="16">
      <c r="A16" s="21" t="inlineStr">
        <is>
          <t>Ticker</t>
        </is>
      </c>
      <c r="B16" s="21" t="inlineStr">
        <is>
          <t>Congress Score</t>
        </is>
      </c>
      <c r="C16" s="21" t="inlineStr">
        <is>
          <t>Interpretacion</t>
        </is>
      </c>
      <c r="D16" s="21" t="inlineStr">
        <is>
          <t>Ultimo Trade</t>
        </is>
      </c>
    </row>
    <row r="17">
      <c r="A17" s="5" t="inlineStr">
        <is>
          <t>XOM</t>
        </is>
      </c>
      <c r="B17" s="6" t="n">
        <v>100</v>
      </c>
      <c r="C17" s="10" t="inlineStr">
        <is>
          <t>BULLISH - Compras recientes</t>
        </is>
      </c>
      <c r="D17" s="6" t="inlineStr">
        <is>
          <t>Tommy Tubervill (V)</t>
        </is>
      </c>
    </row>
    <row r="18">
      <c r="A18" s="5" t="inlineStr">
        <is>
          <t>GOOGL</t>
        </is>
      </c>
      <c r="B18" s="6" t="n">
        <v>100</v>
      </c>
      <c r="C18" s="10" t="inlineStr">
        <is>
          <t>BULLISH - Compras recientes</t>
        </is>
      </c>
      <c r="D18" s="6" t="inlineStr">
        <is>
          <t>Nancy Pelosi (V)</t>
        </is>
      </c>
    </row>
    <row r="19">
      <c r="A19" s="5" t="inlineStr">
        <is>
          <t>NVDA</t>
        </is>
      </c>
      <c r="B19" s="6" t="n">
        <v>100</v>
      </c>
      <c r="C19" s="10" t="inlineStr">
        <is>
          <t>BULLISH - Compras recientes</t>
        </is>
      </c>
      <c r="D19" s="6" t="inlineStr">
        <is>
          <t>Nancy Pelosi (V)</t>
        </is>
      </c>
    </row>
    <row r="20">
      <c r="A20" s="5" t="inlineStr">
        <is>
          <t>MSFT</t>
        </is>
      </c>
      <c r="B20" s="6" t="n">
        <v>0</v>
      </c>
      <c r="C20" s="13" t="inlineStr">
        <is>
          <t>BEARISH - Ventas recientes</t>
        </is>
      </c>
      <c r="D20" s="6" t="inlineStr">
        <is>
          <t>Dan Crenshaw (V)</t>
        </is>
      </c>
    </row>
    <row r="23">
      <c r="A23" s="39" t="inlineStr">
        <is>
          <t>POLYMARKET SMART MONEY</t>
        </is>
      </c>
    </row>
    <row r="24">
      <c r="A24" s="30" t="inlineStr">
        <is>
          <t>Mercado de predicciones: apuestas &gt;$50k pueden indicar informacion privilegiada.</t>
        </is>
      </c>
    </row>
    <row r="26">
      <c r="A26" s="21" t="inlineStr">
        <is>
          <t>Ticker</t>
        </is>
      </c>
      <c r="B26" s="21" t="inlineStr">
        <is>
          <t>Polymarket Score</t>
        </is>
      </c>
      <c r="C26" s="21" t="inlineStr">
        <is>
          <t>Interpretacion</t>
        </is>
      </c>
    </row>
    <row r="27">
      <c r="A27" s="43" t="inlineStr">
        <is>
          <t>No hay senales de Polymarket actualmente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15" customWidth="1" min="5" max="5"/>
  </cols>
  <sheetData>
    <row r="1">
      <c r="A1" s="1" t="inlineStr">
        <is>
          <t>RESUMEN DE BACKTEST - Validacion de Estrategias</t>
        </is>
      </c>
    </row>
    <row r="3">
      <c r="A3" s="43" t="inlineStr">
        <is>
          <t>Escenarios testeados: COVID Crash (2020), Recovery (2020), Bear (2022), AI Rally (2023), Market Highs (2024)</t>
        </is>
      </c>
    </row>
    <row r="5">
      <c r="A5" s="6" t="inlineStr"/>
      <c r="B5" s="6" t="inlineStr"/>
      <c r="C5" s="6" t="inlineStr"/>
      <c r="D5" s="6" t="inlineStr"/>
      <c r="E5" s="6" t="inlineStr"/>
    </row>
    <row r="6">
      <c r="A6" s="44" t="inlineStr">
        <is>
          <t>RESULTADOS POR CONFIGURACION DE PESOS</t>
        </is>
      </c>
      <c r="B6" s="6" t="inlineStr"/>
      <c r="C6" s="6" t="inlineStr"/>
      <c r="D6" s="6" t="inlineStr"/>
      <c r="E6" s="6" t="inlineStr"/>
    </row>
    <row r="7">
      <c r="A7" s="45" t="inlineStr">
        <is>
          <t>Configuracion</t>
        </is>
      </c>
      <c r="B7" s="45" t="inlineStr">
        <is>
          <t>Retorno Promedio</t>
        </is>
      </c>
      <c r="C7" s="45" t="inlineStr">
        <is>
          <t>Sharpe Ratio</t>
        </is>
      </c>
      <c r="D7" s="45" t="inlineStr">
        <is>
          <t>Win Rate</t>
        </is>
      </c>
      <c r="E7" s="45" t="inlineStr">
        <is>
          <t>Alpha vs SPY</t>
        </is>
      </c>
    </row>
    <row r="8">
      <c r="A8" s="6" t="inlineStr">
        <is>
          <t>V12 (4 factores)</t>
        </is>
      </c>
      <c r="B8" s="6" t="inlineStr">
        <is>
          <t>1.05%</t>
        </is>
      </c>
      <c r="C8" s="6" t="inlineStr">
        <is>
          <t>-4.27</t>
        </is>
      </c>
      <c r="D8" s="6" t="inlineStr">
        <is>
          <t>50.0%</t>
        </is>
      </c>
      <c r="E8" s="6" t="inlineStr">
        <is>
          <t>-6.06%</t>
        </is>
      </c>
    </row>
    <row r="9">
      <c r="A9" s="6" t="inlineStr">
        <is>
          <t>V13 (6 factores)</t>
        </is>
      </c>
      <c r="B9" s="6" t="inlineStr">
        <is>
          <t>-0.27%</t>
        </is>
      </c>
      <c r="C9" s="6" t="inlineStr">
        <is>
          <t>-6.28</t>
        </is>
      </c>
      <c r="D9" s="6" t="inlineStr">
        <is>
          <t>48.0%</t>
        </is>
      </c>
      <c r="E9" s="6" t="inlineStr">
        <is>
          <t>-7.38%</t>
        </is>
      </c>
    </row>
    <row r="10">
      <c r="A10" s="24" t="inlineStr">
        <is>
          <t>Momentum Heavy (MEJOR)</t>
        </is>
      </c>
      <c r="B10" s="6" t="inlineStr">
        <is>
          <t>33.47%</t>
        </is>
      </c>
      <c r="C10" s="6" t="inlineStr">
        <is>
          <t>-0.03</t>
        </is>
      </c>
      <c r="D10" s="6" t="inlineStr">
        <is>
          <t>57.4%</t>
        </is>
      </c>
      <c r="E10" s="6" t="inlineStr">
        <is>
          <t>+26.36%</t>
        </is>
      </c>
    </row>
    <row r="11">
      <c r="A11" s="6" t="inlineStr">
        <is>
          <t>Defensive</t>
        </is>
      </c>
      <c r="B11" s="6" t="inlineStr">
        <is>
          <t>2.53%</t>
        </is>
      </c>
      <c r="C11" s="6" t="inlineStr">
        <is>
          <t>-2.03</t>
        </is>
      </c>
      <c r="D11" s="6" t="inlineStr">
        <is>
          <t>50.0%</t>
        </is>
      </c>
      <c r="E11" s="6" t="inlineStr">
        <is>
          <t>-4.58%</t>
        </is>
      </c>
    </row>
    <row r="12">
      <c r="A12" s="6" t="inlineStr">
        <is>
          <t>Value Focused</t>
        </is>
      </c>
      <c r="B12" s="6" t="inlineStr">
        <is>
          <t>0.64%</t>
        </is>
      </c>
      <c r="C12" s="6" t="inlineStr">
        <is>
          <t>-2.17</t>
        </is>
      </c>
      <c r="D12" s="6" t="inlineStr">
        <is>
          <t>50.0%</t>
        </is>
      </c>
      <c r="E12" s="6" t="inlineStr">
        <is>
          <t>-6.48%</t>
        </is>
      </c>
    </row>
    <row r="13">
      <c r="A13" s="6" t="inlineStr"/>
      <c r="B13" s="6" t="inlineStr"/>
      <c r="C13" s="6" t="inlineStr"/>
      <c r="D13" s="6" t="inlineStr"/>
      <c r="E13" s="6" t="inlineStr"/>
    </row>
    <row r="14">
      <c r="A14" s="44" t="inlineStr">
        <is>
          <t>CONCLUSIONES DEL BACKTEST</t>
        </is>
      </c>
      <c r="B14" s="6" t="inlineStr"/>
      <c r="C14" s="6" t="inlineStr"/>
      <c r="D14" s="6" t="inlineStr"/>
      <c r="E14" s="6" t="inlineStr"/>
    </row>
    <row r="15">
      <c r="A15" s="6" t="inlineStr"/>
      <c r="B15" s="6" t="inlineStr"/>
      <c r="C15" s="6" t="inlineStr"/>
      <c r="D15" s="6" t="inlineStr"/>
      <c r="E15" s="6" t="inlineStr"/>
    </row>
    <row r="16">
      <c r="A16" s="6" t="inlineStr">
        <is>
          <t>1. Momentum es el factor mas rentable historicamente</t>
        </is>
      </c>
      <c r="B16" s="6" t="inlineStr"/>
      <c r="C16" s="6" t="inlineStr"/>
      <c r="D16" s="6" t="inlineStr"/>
      <c r="E16" s="6" t="inlineStr"/>
    </row>
    <row r="17">
      <c r="A17" s="6" t="inlineStr">
        <is>
          <t>2. En mercados alcistas: mas peso a Momentum</t>
        </is>
      </c>
      <c r="B17" s="6" t="inlineStr"/>
      <c r="C17" s="6" t="inlineStr"/>
      <c r="D17" s="6" t="inlineStr"/>
      <c r="E17" s="6" t="inlineStr"/>
    </row>
    <row r="18">
      <c r="A18" s="6" t="inlineStr">
        <is>
          <t>3. En mercados bajistas: Defensive (Quality + LowVol)</t>
        </is>
      </c>
      <c r="B18" s="6" t="inlineStr"/>
      <c r="C18" s="6" t="inlineStr"/>
      <c r="D18" s="6" t="inlineStr"/>
      <c r="E18" s="6" t="inlineStr"/>
    </row>
    <row r="19">
      <c r="A19" s="6" t="inlineStr">
        <is>
          <t>4. Congress/Polymarket aportan valor en TIEMPO REAL (no backtesteable)</t>
        </is>
      </c>
      <c r="B19" s="6" t="inlineStr"/>
      <c r="C19" s="6" t="inlineStr"/>
      <c r="D19" s="6" t="inlineStr"/>
      <c r="E19" s="6" t="inlineStr"/>
    </row>
    <row r="20">
      <c r="A20" s="6" t="inlineStr"/>
      <c r="B20" s="6" t="inlineStr"/>
      <c r="C20" s="6" t="inlineStr"/>
      <c r="D20" s="6" t="inlineStr"/>
      <c r="E20" s="6" t="inlineStr"/>
    </row>
    <row r="21">
      <c r="A21" s="44" t="inlineStr">
        <is>
          <t>PESOS RECOMENDADOS BASADOS EN BACKTEST</t>
        </is>
      </c>
      <c r="B21" s="6" t="inlineStr"/>
      <c r="C21" s="6" t="inlineStr"/>
      <c r="D21" s="6" t="inlineStr"/>
      <c r="E21" s="6" t="inlineStr"/>
    </row>
    <row r="22">
      <c r="A22" s="45" t="inlineStr">
        <is>
          <t>Factor</t>
        </is>
      </c>
      <c r="B22" s="45" t="inlineStr">
        <is>
          <t>Peso Actual</t>
        </is>
      </c>
      <c r="C22" s="45" t="inlineStr">
        <is>
          <t>Peso Recomendado</t>
        </is>
      </c>
      <c r="D22" s="45" t="inlineStr">
        <is>
          <t>Diferencia</t>
        </is>
      </c>
      <c r="E22" s="6" t="inlineStr"/>
    </row>
    <row r="23">
      <c r="A23" s="6" t="inlineStr">
        <is>
          <t>Value</t>
        </is>
      </c>
      <c r="B23" s="6" t="inlineStr">
        <is>
          <t>20%</t>
        </is>
      </c>
      <c r="C23" s="6" t="inlineStr">
        <is>
          <t>15%</t>
        </is>
      </c>
      <c r="D23" s="6" t="inlineStr">
        <is>
          <t>-5%</t>
        </is>
      </c>
      <c r="E23" s="6" t="inlineStr"/>
    </row>
    <row r="24">
      <c r="A24" s="6" t="inlineStr">
        <is>
          <t>Quality</t>
        </is>
      </c>
      <c r="B24" s="6" t="inlineStr">
        <is>
          <t>25%</t>
        </is>
      </c>
      <c r="C24" s="6" t="inlineStr">
        <is>
          <t>20%</t>
        </is>
      </c>
      <c r="D24" s="6" t="inlineStr">
        <is>
          <t>-5%</t>
        </is>
      </c>
      <c r="E24" s="6" t="inlineStr"/>
    </row>
    <row r="25">
      <c r="A25" s="6" t="inlineStr">
        <is>
          <t>Momentum</t>
        </is>
      </c>
      <c r="B25" s="6" t="inlineStr">
        <is>
          <t>15%</t>
        </is>
      </c>
      <c r="C25" s="6" t="inlineStr">
        <is>
          <t>35%</t>
        </is>
      </c>
      <c r="D25" s="6" t="inlineStr">
        <is>
          <t>+20%</t>
        </is>
      </c>
      <c r="E25" s="24" t="inlineStr">
        <is>
          <t>SUBIR</t>
        </is>
      </c>
    </row>
    <row r="26">
      <c r="A26" s="6" t="inlineStr">
        <is>
          <t>LowVol</t>
        </is>
      </c>
      <c r="B26" s="6" t="inlineStr">
        <is>
          <t>15%</t>
        </is>
      </c>
      <c r="C26" s="6" t="inlineStr">
        <is>
          <t>10%</t>
        </is>
      </c>
      <c r="D26" s="6" t="inlineStr">
        <is>
          <t>-5%</t>
        </is>
      </c>
      <c r="E26" s="6" t="inlineStr"/>
    </row>
    <row r="27">
      <c r="A27" s="6" t="inlineStr">
        <is>
          <t>Congress</t>
        </is>
      </c>
      <c r="B27" s="6" t="inlineStr">
        <is>
          <t>10%</t>
        </is>
      </c>
      <c r="C27" s="6" t="inlineStr">
        <is>
          <t>10%</t>
        </is>
      </c>
      <c r="D27" s="6" t="inlineStr">
        <is>
          <t>0%</t>
        </is>
      </c>
      <c r="E27" s="6" t="inlineStr"/>
    </row>
    <row r="28">
      <c r="A28" s="6" t="inlineStr">
        <is>
          <t>Polymarket</t>
        </is>
      </c>
      <c r="B28" s="6" t="inlineStr">
        <is>
          <t>10%</t>
        </is>
      </c>
      <c r="C28" s="6" t="inlineStr">
        <is>
          <t>10%</t>
        </is>
      </c>
      <c r="D28" s="6" t="inlineStr">
        <is>
          <t>0%</t>
        </is>
      </c>
      <c r="E28" s="6" t="inlineStr"/>
    </row>
    <row r="29">
      <c r="A29" s="6" t="inlineStr"/>
      <c r="B29" s="6" t="inlineStr"/>
      <c r="C29" s="6" t="inlineStr"/>
      <c r="D29" s="6" t="inlineStr"/>
      <c r="E29" s="6" t="inlineStr"/>
    </row>
    <row r="30">
      <c r="A30" s="6" t="inlineStr">
        <is>
          <t>NOTA: Los pesos actuales son conservadores.</t>
        </is>
      </c>
      <c r="B30" s="6" t="inlineStr"/>
      <c r="C30" s="6" t="inlineStr"/>
      <c r="D30" s="6" t="inlineStr"/>
      <c r="E30" s="6" t="inlineStr"/>
    </row>
    <row r="31">
      <c r="A31" s="6" t="inlineStr">
        <is>
          <t>El backtest sugiere mas Momentum, pero eso aumenta el riesgo.</t>
        </is>
      </c>
      <c r="B31" s="6" t="inlineStr"/>
      <c r="C31" s="6" t="inlineStr"/>
      <c r="D31" s="6" t="inlineStr"/>
      <c r="E31" s="6" t="inlineStr"/>
    </row>
    <row r="32">
      <c r="A32" s="6" t="inlineStr">
        <is>
          <t>Ajusta segun tu tolerancia al riesgo.</t>
        </is>
      </c>
      <c r="B32" s="6" t="inlineStr"/>
      <c r="C32" s="6" t="inlineStr"/>
      <c r="D32" s="6" t="inlineStr"/>
      <c r="E32" s="6" t="inlineStr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18" customWidth="1" min="3" max="3"/>
    <col width="12" customWidth="1" min="4" max="4"/>
    <col width="9" customWidth="1" min="5" max="5"/>
    <col width="7" customWidth="1" min="6" max="6"/>
    <col width="7" customWidth="1" min="7" max="7"/>
    <col width="10" customWidth="1" min="8" max="8"/>
    <col width="9" customWidth="1" min="9" max="9"/>
    <col width="12" customWidth="1" min="10" max="10"/>
    <col width="35" customWidth="1" min="11" max="11"/>
  </cols>
  <sheetData>
    <row r="1">
      <c r="A1" s="1" t="inlineStr">
        <is>
          <t>INVERSIONES A LARGO PLAZO - Value + Quality Focus</t>
        </is>
      </c>
    </row>
    <row r="2">
      <c r="A2" s="43" t="inlineStr">
        <is>
          <t>Estrategia: Empresas infravaloradas con alta calidad. Horizonte: 1-5 anos. Menor rotacion.</t>
        </is>
      </c>
    </row>
    <row r="3">
      <c r="A3" s="46" t="inlineStr">
        <is>
          <t>CONTEXTO FAVORABLE: Liquidez abundante (score 68/100). Growth/Tech pueden funcionar bien a largo plazo.</t>
        </is>
      </c>
    </row>
    <row r="4">
      <c r="A4" s="3" t="inlineStr">
        <is>
          <t>Pesos Long-Term: Value 35% | Quality 35% | Mom 5% | LowVol 15%</t>
        </is>
      </c>
    </row>
    <row r="6">
      <c r="A6" s="21" t="inlineStr">
        <is>
          <t>#</t>
        </is>
      </c>
      <c r="B6" s="21" t="inlineStr">
        <is>
          <t>Ticker</t>
        </is>
      </c>
      <c r="C6" s="21" t="inlineStr">
        <is>
          <t>Empresa</t>
        </is>
      </c>
      <c r="D6" s="21" t="inlineStr">
        <is>
          <t>Sector</t>
        </is>
      </c>
      <c r="E6" s="21" t="inlineStr">
        <is>
          <t>LT Score</t>
        </is>
      </c>
      <c r="F6" s="21" t="inlineStr">
        <is>
          <t>Value</t>
        </is>
      </c>
      <c r="G6" s="21" t="inlineStr">
        <is>
          <t>Quality</t>
        </is>
      </c>
      <c r="H6" s="21" t="inlineStr">
        <is>
          <t>Deuda/EBITDA</t>
        </is>
      </c>
      <c r="I6" s="21" t="inlineStr">
        <is>
          <t>Upside%</t>
        </is>
      </c>
      <c r="J6" s="21" t="inlineStr">
        <is>
          <t>Senal LT</t>
        </is>
      </c>
      <c r="K6" s="21" t="inlineStr">
        <is>
          <t>Por que</t>
        </is>
      </c>
    </row>
    <row r="7">
      <c r="A7" s="6" t="n">
        <v>1</v>
      </c>
      <c r="B7" s="5" t="inlineStr">
        <is>
          <t>PDD</t>
        </is>
      </c>
      <c r="C7" s="6" t="inlineStr">
        <is>
          <t>PDD Holdings Inc.</t>
        </is>
      </c>
      <c r="D7" s="6" t="inlineStr">
        <is>
          <t>China Tech</t>
        </is>
      </c>
      <c r="E7" s="10" t="n">
        <v>73.59999999999999</v>
      </c>
      <c r="F7" s="6" t="n">
        <v>89</v>
      </c>
      <c r="G7" s="6" t="n">
        <v>75</v>
      </c>
      <c r="H7" s="10" t="inlineStr">
        <is>
          <t>-4.4x</t>
        </is>
      </c>
      <c r="I7" s="10" t="inlineStr">
        <is>
          <t>40%</t>
        </is>
      </c>
      <c r="J7" s="10" t="inlineStr">
        <is>
          <t>CORE HOLDING</t>
        </is>
      </c>
      <c r="K7" s="33" t="inlineStr">
        <is>
          <t>Infravalorada, alta calidad, baja deuda, liquidez favorece tech</t>
        </is>
      </c>
    </row>
    <row r="8">
      <c r="A8" s="6" t="n">
        <v>2</v>
      </c>
      <c r="B8" s="5" t="inlineStr">
        <is>
          <t>PBR</t>
        </is>
      </c>
      <c r="C8" s="6" t="inlineStr">
        <is>
          <t xml:space="preserve">Petroleo Brasileiro S.A. </t>
        </is>
      </c>
      <c r="D8" s="6" t="inlineStr">
        <is>
          <t>Energia Oil</t>
        </is>
      </c>
      <c r="E8" s="10" t="n">
        <v>71</v>
      </c>
      <c r="F8" s="6" t="n">
        <v>91</v>
      </c>
      <c r="G8" s="6" t="n">
        <v>56</v>
      </c>
      <c r="H8" s="10" t="inlineStr">
        <is>
          <t>1.6x</t>
        </is>
      </c>
      <c r="I8" s="6" t="inlineStr">
        <is>
          <t>4%</t>
        </is>
      </c>
      <c r="J8" s="27" t="inlineStr">
        <is>
          <t>ACCUMULATE</t>
        </is>
      </c>
      <c r="K8" s="33" t="inlineStr">
        <is>
          <t>Infravalorada, baja deuda, liquidez favorece tech</t>
        </is>
      </c>
    </row>
    <row r="9">
      <c r="A9" s="6" t="n">
        <v>3</v>
      </c>
      <c r="B9" s="5" t="inlineStr">
        <is>
          <t>PBR</t>
        </is>
      </c>
      <c r="C9" s="6" t="inlineStr">
        <is>
          <t xml:space="preserve">Petroleo Brasileiro S.A. </t>
        </is>
      </c>
      <c r="D9" s="6" t="inlineStr">
        <is>
          <t>Latam</t>
        </is>
      </c>
      <c r="E9" s="10" t="n">
        <v>70.09999999999999</v>
      </c>
      <c r="F9" s="6" t="n">
        <v>91</v>
      </c>
      <c r="G9" s="6" t="n">
        <v>56</v>
      </c>
      <c r="H9" s="10" t="inlineStr">
        <is>
          <t>1.6x</t>
        </is>
      </c>
      <c r="I9" s="6" t="inlineStr">
        <is>
          <t>4%</t>
        </is>
      </c>
      <c r="J9" s="27" t="inlineStr">
        <is>
          <t>ACCUMULATE</t>
        </is>
      </c>
      <c r="K9" s="33" t="inlineStr">
        <is>
          <t>Infravalorada, baja deuda</t>
        </is>
      </c>
    </row>
    <row r="10">
      <c r="A10" s="6" t="n">
        <v>4</v>
      </c>
      <c r="B10" s="5" t="inlineStr">
        <is>
          <t>NVO</t>
        </is>
      </c>
      <c r="C10" s="6" t="inlineStr">
        <is>
          <t>Novo Nordisk A/S</t>
        </is>
      </c>
      <c r="D10" s="6" t="inlineStr">
        <is>
          <t>Pharma</t>
        </is>
      </c>
      <c r="E10" s="10" t="n">
        <v>69.7</v>
      </c>
      <c r="F10" s="6" t="n">
        <v>76</v>
      </c>
      <c r="G10" s="6" t="n">
        <v>80</v>
      </c>
      <c r="H10" s="10" t="inlineStr">
        <is>
          <t>0.4x</t>
        </is>
      </c>
      <c r="I10" s="13" t="inlineStr">
        <is>
          <t>-7%</t>
        </is>
      </c>
      <c r="J10" s="6" t="inlineStr">
        <is>
          <t>WATCHLIST</t>
        </is>
      </c>
      <c r="K10" s="33" t="inlineStr">
        <is>
          <t>Infravalorada, alta calidad, baja deuda</t>
        </is>
      </c>
    </row>
    <row r="11">
      <c r="A11" s="6" t="n">
        <v>5</v>
      </c>
      <c r="B11" s="5" t="inlineStr">
        <is>
          <t>BMY</t>
        </is>
      </c>
      <c r="C11" s="6" t="inlineStr">
        <is>
          <t>Bristol-Myers Squibb Comp</t>
        </is>
      </c>
      <c r="D11" s="6" t="inlineStr">
        <is>
          <t>Pharma</t>
        </is>
      </c>
      <c r="E11" s="10" t="n">
        <v>69.2</v>
      </c>
      <c r="F11" s="6" t="n">
        <v>82</v>
      </c>
      <c r="G11" s="6" t="n">
        <v>61</v>
      </c>
      <c r="H11" s="10" t="inlineStr">
        <is>
          <t>1.8x</t>
        </is>
      </c>
      <c r="I11" s="6" t="inlineStr">
        <is>
          <t>4%</t>
        </is>
      </c>
      <c r="J11" s="27" t="inlineStr">
        <is>
          <t>ACCUMULATE</t>
        </is>
      </c>
      <c r="K11" s="33" t="inlineStr">
        <is>
          <t>Infravalorada, alta calidad, baja deuda</t>
        </is>
      </c>
    </row>
    <row r="12">
      <c r="A12" s="6" t="n">
        <v>6</v>
      </c>
      <c r="B12" s="5" t="inlineStr">
        <is>
          <t>MRK</t>
        </is>
      </c>
      <c r="C12" s="6" t="inlineStr">
        <is>
          <t>Merck &amp; Company, Inc.</t>
        </is>
      </c>
      <c r="D12" s="6" t="inlineStr">
        <is>
          <t>Pharma</t>
        </is>
      </c>
      <c r="E12" s="10" t="n">
        <v>69.09999999999999</v>
      </c>
      <c r="F12" s="6" t="n">
        <v>67</v>
      </c>
      <c r="G12" s="6" t="n">
        <v>75</v>
      </c>
      <c r="H12" s="10" t="inlineStr">
        <is>
          <t>0.7x</t>
        </is>
      </c>
      <c r="I12" s="6" t="inlineStr">
        <is>
          <t>7%</t>
        </is>
      </c>
      <c r="J12" s="27" t="inlineStr">
        <is>
          <t>ACCUMULATE</t>
        </is>
      </c>
      <c r="K12" s="33" t="inlineStr">
        <is>
          <t>Infravalorada, alta calidad, baja deuda, tendencia alcista</t>
        </is>
      </c>
    </row>
    <row r="13">
      <c r="A13" s="6" t="n">
        <v>7</v>
      </c>
      <c r="B13" s="5" t="inlineStr">
        <is>
          <t>NTDOY</t>
        </is>
      </c>
      <c r="C13" s="6" t="inlineStr">
        <is>
          <t>Nintendo Co., Ltd.</t>
        </is>
      </c>
      <c r="D13" s="6" t="inlineStr">
        <is>
          <t>Japan</t>
        </is>
      </c>
      <c r="E13" s="10" t="n">
        <v>69</v>
      </c>
      <c r="F13" s="6" t="n">
        <v>93</v>
      </c>
      <c r="G13" s="6" t="n">
        <v>59</v>
      </c>
      <c r="H13" s="10" t="inlineStr">
        <is>
          <t>-6.5x</t>
        </is>
      </c>
      <c r="I13" s="10" t="inlineStr">
        <is>
          <t>110%</t>
        </is>
      </c>
      <c r="J13" s="10" t="inlineStr">
        <is>
          <t>CORE HOLDING</t>
        </is>
      </c>
      <c r="K13" s="33" t="inlineStr">
        <is>
          <t>Infravalorada, baja deuda</t>
        </is>
      </c>
    </row>
    <row r="14">
      <c r="A14" s="6" t="n">
        <v>8</v>
      </c>
      <c r="B14" s="5" t="inlineStr">
        <is>
          <t>NOVN.SW</t>
        </is>
      </c>
      <c r="C14" s="6" t="inlineStr">
        <is>
          <t>NOVARTIS N</t>
        </is>
      </c>
      <c r="D14" s="6" t="inlineStr">
        <is>
          <t>Pharma</t>
        </is>
      </c>
      <c r="E14" s="10" t="n">
        <v>68.90000000000001</v>
      </c>
      <c r="F14" s="6" t="n">
        <v>70</v>
      </c>
      <c r="G14" s="6" t="n">
        <v>66</v>
      </c>
      <c r="H14" s="10" t="inlineStr">
        <is>
          <t>0.9x</t>
        </is>
      </c>
      <c r="I14" s="13" t="inlineStr">
        <is>
          <t>-5%</t>
        </is>
      </c>
      <c r="J14" s="6" t="inlineStr">
        <is>
          <t>WATCHLIST</t>
        </is>
      </c>
      <c r="K14" s="33" t="inlineStr">
        <is>
          <t>Infravalorada, alta calidad, baja deuda, tendencia alcista</t>
        </is>
      </c>
    </row>
    <row r="15">
      <c r="A15" s="6" t="n">
        <v>9</v>
      </c>
      <c r="B15" s="5" t="inlineStr">
        <is>
          <t>GILD</t>
        </is>
      </c>
      <c r="C15" s="6" t="inlineStr">
        <is>
          <t>Gilead Sciences, Inc.</t>
        </is>
      </c>
      <c r="D15" s="6" t="inlineStr">
        <is>
          <t>Biotech</t>
        </is>
      </c>
      <c r="E15" s="10" t="n">
        <v>68.59999999999999</v>
      </c>
      <c r="F15" s="6" t="n">
        <v>66</v>
      </c>
      <c r="G15" s="6" t="n">
        <v>72</v>
      </c>
      <c r="H15" s="10" t="inlineStr">
        <is>
          <t>1.2x</t>
        </is>
      </c>
      <c r="I15" s="13" t="inlineStr">
        <is>
          <t>-1%</t>
        </is>
      </c>
      <c r="J15" s="6" t="inlineStr">
        <is>
          <t>WATCHLIST</t>
        </is>
      </c>
      <c r="K15" s="33" t="inlineStr">
        <is>
          <t>Infravalorada, alta calidad, baja deuda, tendencia alcista, liquidez favorece tech</t>
        </is>
      </c>
    </row>
    <row r="16">
      <c r="A16" s="6" t="n">
        <v>10</v>
      </c>
      <c r="B16" s="5" t="inlineStr">
        <is>
          <t>TSM</t>
        </is>
      </c>
      <c r="C16" s="6" t="inlineStr">
        <is>
          <t>Taiwan Semiconductor Manu</t>
        </is>
      </c>
      <c r="D16" s="6" t="inlineStr">
        <is>
          <t>Semiconductores</t>
        </is>
      </c>
      <c r="E16" s="10" t="n">
        <v>68.5</v>
      </c>
      <c r="F16" s="6" t="n">
        <v>77</v>
      </c>
      <c r="G16" s="6" t="n">
        <v>87</v>
      </c>
      <c r="H16" s="10" t="inlineStr">
        <is>
          <t>-0.8x</t>
        </is>
      </c>
      <c r="I16" s="10" t="inlineStr">
        <is>
          <t>25%</t>
        </is>
      </c>
      <c r="J16" s="10" t="inlineStr">
        <is>
          <t>CORE HOLDING</t>
        </is>
      </c>
      <c r="K16" s="33" t="inlineStr">
        <is>
          <t>Infravalorada, alta calidad, baja deuda, liquidez favorece tech</t>
        </is>
      </c>
    </row>
    <row r="17">
      <c r="A17" s="6" t="n">
        <v>11</v>
      </c>
      <c r="B17" s="5" t="inlineStr">
        <is>
          <t>ROG.SW</t>
        </is>
      </c>
      <c r="C17" s="6" t="inlineStr">
        <is>
          <t>ROCHE GS</t>
        </is>
      </c>
      <c r="D17" s="6" t="inlineStr">
        <is>
          <t>Pharma</t>
        </is>
      </c>
      <c r="E17" s="10" t="n">
        <v>68</v>
      </c>
      <c r="F17" s="6" t="n">
        <v>64</v>
      </c>
      <c r="G17" s="6" t="n">
        <v>68</v>
      </c>
      <c r="H17" s="10" t="inlineStr">
        <is>
          <t>1.0x</t>
        </is>
      </c>
      <c r="I17" s="13" t="inlineStr">
        <is>
          <t>-2%</t>
        </is>
      </c>
      <c r="J17" s="6" t="inlineStr">
        <is>
          <t>WATCHLIST</t>
        </is>
      </c>
      <c r="K17" s="33" t="inlineStr">
        <is>
          <t>Infravalorada, alta calidad, baja deuda, tendencia alcista</t>
        </is>
      </c>
    </row>
    <row r="18">
      <c r="A18" s="6" t="n">
        <v>12</v>
      </c>
      <c r="B18" s="5" t="inlineStr">
        <is>
          <t>NEM</t>
        </is>
      </c>
      <c r="C18" s="6" t="inlineStr">
        <is>
          <t>Newmont Corporation</t>
        </is>
      </c>
      <c r="D18" s="6" t="inlineStr">
        <is>
          <t>Oro</t>
        </is>
      </c>
      <c r="E18" s="10" t="n">
        <v>67.90000000000001</v>
      </c>
      <c r="F18" s="6" t="n">
        <v>70</v>
      </c>
      <c r="G18" s="6" t="n">
        <v>74</v>
      </c>
      <c r="H18" s="10" t="inlineStr">
        <is>
          <t>-0.0x</t>
        </is>
      </c>
      <c r="I18" s="13" t="inlineStr">
        <is>
          <t>-4%</t>
        </is>
      </c>
      <c r="J18" s="6" t="inlineStr">
        <is>
          <t>WATCHLIST</t>
        </is>
      </c>
      <c r="K18" s="33" t="inlineStr">
        <is>
          <t>Infravalorada, alta calidad, baja deuda, tendencia alcista</t>
        </is>
      </c>
    </row>
    <row r="19">
      <c r="A19" s="6" t="n">
        <v>13</v>
      </c>
      <c r="B19" s="5" t="inlineStr">
        <is>
          <t>NTES</t>
        </is>
      </c>
      <c r="C19" s="6" t="inlineStr">
        <is>
          <t>NetEase, Inc.</t>
        </is>
      </c>
      <c r="D19" s="6" t="inlineStr">
        <is>
          <t>China Tech</t>
        </is>
      </c>
      <c r="E19" s="10" t="n">
        <v>67.59999999999999</v>
      </c>
      <c r="F19" s="6" t="n">
        <v>78</v>
      </c>
      <c r="G19" s="6" t="n">
        <v>74</v>
      </c>
      <c r="H19" s="10" t="inlineStr">
        <is>
          <t>-3.8x</t>
        </is>
      </c>
      <c r="I19" s="10" t="inlineStr">
        <is>
          <t>27%</t>
        </is>
      </c>
      <c r="J19" s="10" t="inlineStr">
        <is>
          <t>CORE HOLDING</t>
        </is>
      </c>
      <c r="K19" s="33" t="inlineStr">
        <is>
          <t>Infravalorada, alta calidad, baja deuda, liquidez favorece tech</t>
        </is>
      </c>
    </row>
    <row r="20">
      <c r="A20" s="6" t="n">
        <v>14</v>
      </c>
      <c r="B20" s="5" t="inlineStr">
        <is>
          <t>ABBV</t>
        </is>
      </c>
      <c r="C20" s="6" t="inlineStr">
        <is>
          <t>AbbVie Inc.</t>
        </is>
      </c>
      <c r="D20" s="6" t="inlineStr">
        <is>
          <t>Pharma</t>
        </is>
      </c>
      <c r="E20" s="10" t="n">
        <v>67.2</v>
      </c>
      <c r="F20" s="6" t="n">
        <v>65</v>
      </c>
      <c r="G20" s="6" t="n">
        <v>68</v>
      </c>
      <c r="H20" s="6" t="inlineStr">
        <is>
          <t>2.1x</t>
        </is>
      </c>
      <c r="I20" s="6" t="inlineStr">
        <is>
          <t>12%</t>
        </is>
      </c>
      <c r="J20" s="10" t="inlineStr">
        <is>
          <t>CORE HOLDING</t>
        </is>
      </c>
      <c r="K20" s="33" t="inlineStr">
        <is>
          <t>Infravalorada, alta calidad, tendencia alcista</t>
        </is>
      </c>
    </row>
    <row r="21">
      <c r="A21" s="6" t="n">
        <v>15</v>
      </c>
      <c r="B21" s="5" t="inlineStr">
        <is>
          <t>EQNR</t>
        </is>
      </c>
      <c r="C21" s="6" t="inlineStr">
        <is>
          <t>Equinor ASA</t>
        </is>
      </c>
      <c r="D21" s="6" t="inlineStr">
        <is>
          <t>Energia Oil</t>
        </is>
      </c>
      <c r="E21" s="10" t="n">
        <v>67</v>
      </c>
      <c r="F21" s="6" t="n">
        <v>85</v>
      </c>
      <c r="G21" s="6" t="n">
        <v>52</v>
      </c>
      <c r="H21" s="10" t="inlineStr">
        <is>
          <t>0.2x</t>
        </is>
      </c>
      <c r="I21" s="13" t="inlineStr">
        <is>
          <t>-8%</t>
        </is>
      </c>
      <c r="J21" s="6" t="inlineStr">
        <is>
          <t>WATCHLIST</t>
        </is>
      </c>
      <c r="K21" s="33" t="inlineStr">
        <is>
          <t>Infravalorada, baja deuda, liquidez favorece tech</t>
        </is>
      </c>
    </row>
    <row r="22">
      <c r="A22" s="6" t="n">
        <v>16</v>
      </c>
      <c r="B22" s="5" t="inlineStr">
        <is>
          <t>TCEHY</t>
        </is>
      </c>
      <c r="C22" s="6" t="inlineStr">
        <is>
          <t>Tencent Holding Ltd.</t>
        </is>
      </c>
      <c r="D22" s="6" t="inlineStr">
        <is>
          <t>China Tech</t>
        </is>
      </c>
      <c r="E22" s="10" t="n">
        <v>65.90000000000001</v>
      </c>
      <c r="F22" s="6" t="n">
        <v>78</v>
      </c>
      <c r="G22" s="6" t="n">
        <v>67</v>
      </c>
      <c r="H22" s="10" t="inlineStr">
        <is>
          <t>-0.1x</t>
        </is>
      </c>
      <c r="I22" s="10" t="inlineStr">
        <is>
          <t>27%</t>
        </is>
      </c>
      <c r="J22" s="10" t="inlineStr">
        <is>
          <t>CORE HOLDING</t>
        </is>
      </c>
      <c r="K22" s="33" t="inlineStr">
        <is>
          <t>Infravalorada, alta calidad, baja deuda, liquidez favorece tech</t>
        </is>
      </c>
    </row>
    <row r="23">
      <c r="A23" s="6" t="n">
        <v>17</v>
      </c>
      <c r="B23" s="5" t="inlineStr">
        <is>
          <t>AU</t>
        </is>
      </c>
      <c r="C23" s="6" t="inlineStr">
        <is>
          <t>AngloGold Ashanti PLC</t>
        </is>
      </c>
      <c r="D23" s="6" t="inlineStr">
        <is>
          <t>Oro</t>
        </is>
      </c>
      <c r="E23" s="10" t="n">
        <v>65.8</v>
      </c>
      <c r="F23" s="6" t="n">
        <v>63</v>
      </c>
      <c r="G23" s="6" t="n">
        <v>81</v>
      </c>
      <c r="H23" s="10" t="inlineStr">
        <is>
          <t>-0.1x</t>
        </is>
      </c>
      <c r="I23" s="13" t="inlineStr">
        <is>
          <t>-5%</t>
        </is>
      </c>
      <c r="J23" s="6" t="inlineStr">
        <is>
          <t>WATCHLIST</t>
        </is>
      </c>
      <c r="K23" s="33" t="inlineStr">
        <is>
          <t>Infravalorada, alta calidad, baja deuda, tendencia alcista</t>
        </is>
      </c>
    </row>
    <row r="24">
      <c r="A24" s="6" t="n">
        <v>18</v>
      </c>
      <c r="B24" s="5" t="inlineStr">
        <is>
          <t>WIT</t>
        </is>
      </c>
      <c r="C24" s="6" t="inlineStr">
        <is>
          <t>Wipro Limited</t>
        </is>
      </c>
      <c r="D24" s="6" t="inlineStr">
        <is>
          <t>India</t>
        </is>
      </c>
      <c r="E24" s="10" t="n">
        <v>65.59999999999999</v>
      </c>
      <c r="F24" s="6" t="n">
        <v>83</v>
      </c>
      <c r="G24" s="6" t="n">
        <v>57</v>
      </c>
      <c r="H24" s="10" t="inlineStr">
        <is>
          <t>-2.2x</t>
        </is>
      </c>
      <c r="I24" s="6" t="inlineStr">
        <is>
          <t>2%</t>
        </is>
      </c>
      <c r="J24" s="27" t="inlineStr">
        <is>
          <t>ACCUMULATE</t>
        </is>
      </c>
      <c r="K24" s="33" t="inlineStr">
        <is>
          <t>Infravalorada, baja deuda, liquidez favorece tech</t>
        </is>
      </c>
    </row>
    <row r="25">
      <c r="A25" s="6" t="n">
        <v>19</v>
      </c>
      <c r="B25" s="5" t="inlineStr">
        <is>
          <t>HSBC</t>
        </is>
      </c>
      <c r="C25" s="6" t="inlineStr">
        <is>
          <t>HSBC Holdings, plc.</t>
        </is>
      </c>
      <c r="D25" s="6" t="inlineStr">
        <is>
          <t>Europa Financieras</t>
        </is>
      </c>
      <c r="E25" s="10" t="n">
        <v>65.5</v>
      </c>
      <c r="F25" s="6" t="n">
        <v>61</v>
      </c>
      <c r="G25" s="6" t="n">
        <v>69</v>
      </c>
      <c r="H25" s="10" t="inlineStr">
        <is>
          <t>-374343008256.0x</t>
        </is>
      </c>
      <c r="I25" s="6" t="inlineStr">
        <is>
          <t>2%</t>
        </is>
      </c>
      <c r="J25" s="27" t="inlineStr">
        <is>
          <t>ACCUMULATE</t>
        </is>
      </c>
      <c r="K25" s="33" t="inlineStr">
        <is>
          <t>Infravalorada, alta calidad, baja deuda, tendencia alcista</t>
        </is>
      </c>
    </row>
    <row r="26">
      <c r="A26" s="6" t="n">
        <v>20</v>
      </c>
      <c r="B26" s="5" t="inlineStr">
        <is>
          <t>AMX</t>
        </is>
      </c>
      <c r="C26" s="6" t="inlineStr">
        <is>
          <t xml:space="preserve">America Movil, S.A.B. de </t>
        </is>
      </c>
      <c r="D26" s="6" t="inlineStr">
        <is>
          <t>Latam</t>
        </is>
      </c>
      <c r="E26" s="10" t="n">
        <v>64.7</v>
      </c>
      <c r="F26" s="6" t="n">
        <v>83</v>
      </c>
      <c r="G26" s="6" t="n">
        <v>43</v>
      </c>
      <c r="H26" s="6" t="inlineStr">
        <is>
          <t>2.1x</t>
        </is>
      </c>
      <c r="I26" s="6" t="inlineStr">
        <is>
          <t>13%</t>
        </is>
      </c>
      <c r="J26" s="10" t="inlineStr">
        <is>
          <t>CORE HOLDING</t>
        </is>
      </c>
      <c r="K26" s="33" t="inlineStr">
        <is>
          <t>Infravalorada, tendencia alcista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2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>
      <c r="A1" s="1" t="inlineStr">
        <is>
          <t>TRADING DE MOMENTUM - Corto/Medio Plazo</t>
        </is>
      </c>
    </row>
    <row r="2">
      <c r="A2" s="43" t="inlineStr">
        <is>
          <t>Estrategia: Seguir tendencias fuertes. Horizonte: 1-3 meses. Alta rotacion. SOLO en liquidez abundante.</t>
        </is>
      </c>
    </row>
    <row r="3">
      <c r="A3" s="3" t="inlineStr">
        <is>
          <t>Pesos Momentum: Value 5% | Quality 10% | Mom 50% | Congress 15% | Polymarket 15%</t>
        </is>
      </c>
    </row>
    <row r="4">
      <c r="A4" s="47" t="inlineStr">
        <is>
          <t>Liquidez abundante - Condiciones favorables para momentum</t>
        </is>
      </c>
    </row>
    <row r="6">
      <c r="A6" s="21" t="inlineStr">
        <is>
          <t>#</t>
        </is>
      </c>
      <c r="B6" s="21" t="inlineStr">
        <is>
          <t>Ticker</t>
        </is>
      </c>
      <c r="C6" s="21" t="inlineStr">
        <is>
          <t>Empresa</t>
        </is>
      </c>
      <c r="D6" s="21" t="inlineStr">
        <is>
          <t>Mom Score</t>
        </is>
      </c>
      <c r="E6" s="21" t="inlineStr">
        <is>
          <t>Mom 12M</t>
        </is>
      </c>
      <c r="F6" s="21" t="inlineStr">
        <is>
          <t>Congress</t>
        </is>
      </c>
      <c r="G6" s="21" t="inlineStr">
        <is>
          <t>Polymarket</t>
        </is>
      </c>
      <c r="H6" s="21" t="inlineStr">
        <is>
          <t>Senal MOM</t>
        </is>
      </c>
    </row>
    <row r="7">
      <c r="A7" s="6" t="n">
        <v>1</v>
      </c>
      <c r="B7" s="5" t="inlineStr">
        <is>
          <t>AU</t>
        </is>
      </c>
      <c r="C7" s="6" t="inlineStr">
        <is>
          <t>AngloGold Ashanti PLC</t>
        </is>
      </c>
      <c r="D7" s="10" t="n">
        <v>71.59999999999999</v>
      </c>
      <c r="E7" s="10" t="inlineStr">
        <is>
          <t>295%</t>
        </is>
      </c>
      <c r="F7" s="6" t="n">
        <v>50</v>
      </c>
      <c r="G7" s="6" t="n">
        <v>50</v>
      </c>
      <c r="H7" s="10" t="inlineStr">
        <is>
          <t>STRONG MOM</t>
        </is>
      </c>
    </row>
    <row r="8">
      <c r="A8" s="6" t="n">
        <v>2</v>
      </c>
      <c r="B8" s="5" t="inlineStr">
        <is>
          <t>GILD</t>
        </is>
      </c>
      <c r="C8" s="6" t="inlineStr">
        <is>
          <t>Gilead Sciences, Inc.</t>
        </is>
      </c>
      <c r="D8" s="10" t="n">
        <v>70.8</v>
      </c>
      <c r="E8" s="10" t="inlineStr">
        <is>
          <t>50%</t>
        </is>
      </c>
      <c r="F8" s="6" t="n">
        <v>50</v>
      </c>
      <c r="G8" s="6" t="n">
        <v>50</v>
      </c>
      <c r="H8" s="10" t="inlineStr">
        <is>
          <t>STRONG MOM</t>
        </is>
      </c>
    </row>
    <row r="9">
      <c r="A9" s="6" t="n">
        <v>3</v>
      </c>
      <c r="B9" s="5" t="inlineStr">
        <is>
          <t>NEM</t>
        </is>
      </c>
      <c r="C9" s="6" t="inlineStr">
        <is>
          <t>Newmont Corporation</t>
        </is>
      </c>
      <c r="D9" s="10" t="n">
        <v>70.7</v>
      </c>
      <c r="E9" s="10" t="inlineStr">
        <is>
          <t>201%</t>
        </is>
      </c>
      <c r="F9" s="6" t="n">
        <v>50</v>
      </c>
      <c r="G9" s="6" t="n">
        <v>50</v>
      </c>
      <c r="H9" s="10" t="inlineStr">
        <is>
          <t>STRONG MOM</t>
        </is>
      </c>
    </row>
    <row r="10">
      <c r="A10" s="6" t="n">
        <v>4</v>
      </c>
      <c r="B10" s="5" t="inlineStr">
        <is>
          <t>GFI</t>
        </is>
      </c>
      <c r="C10" s="6" t="inlineStr">
        <is>
          <t>Gold Fields Limited</t>
        </is>
      </c>
      <c r="D10" s="10" t="n">
        <v>70.5</v>
      </c>
      <c r="E10" s="10" t="inlineStr">
        <is>
          <t>223%</t>
        </is>
      </c>
      <c r="F10" s="6" t="n">
        <v>50</v>
      </c>
      <c r="G10" s="6" t="n">
        <v>50</v>
      </c>
      <c r="H10" s="10" t="inlineStr">
        <is>
          <t>STRONG MOM</t>
        </is>
      </c>
    </row>
    <row r="11">
      <c r="A11" s="6" t="n">
        <v>5</v>
      </c>
      <c r="B11" s="5" t="inlineStr">
        <is>
          <t>AEM</t>
        </is>
      </c>
      <c r="C11" s="6" t="inlineStr">
        <is>
          <t>Agnico Eagle Mines Limite</t>
        </is>
      </c>
      <c r="D11" s="10" t="n">
        <v>69.2</v>
      </c>
      <c r="E11" s="10" t="inlineStr">
        <is>
          <t>142%</t>
        </is>
      </c>
      <c r="F11" s="6" t="n">
        <v>50</v>
      </c>
      <c r="G11" s="6" t="n">
        <v>50</v>
      </c>
      <c r="H11" s="10" t="inlineStr">
        <is>
          <t>STRONG MOM</t>
        </is>
      </c>
    </row>
    <row r="12">
      <c r="A12" s="6" t="n">
        <v>6</v>
      </c>
      <c r="B12" s="5" t="inlineStr">
        <is>
          <t>GSK</t>
        </is>
      </c>
      <c r="C12" s="6" t="inlineStr">
        <is>
          <t>GSK plc</t>
        </is>
      </c>
      <c r="D12" s="10" t="n">
        <v>69</v>
      </c>
      <c r="E12" s="10" t="inlineStr">
        <is>
          <t>50%</t>
        </is>
      </c>
      <c r="F12" s="6" t="n">
        <v>50</v>
      </c>
      <c r="G12" s="6" t="n">
        <v>50</v>
      </c>
      <c r="H12" s="10" t="inlineStr">
        <is>
          <t>STRONG MOM</t>
        </is>
      </c>
    </row>
    <row r="13">
      <c r="A13" s="6" t="n">
        <v>7</v>
      </c>
      <c r="B13" s="5" t="inlineStr">
        <is>
          <t>WPM</t>
        </is>
      </c>
      <c r="C13" s="6" t="inlineStr">
        <is>
          <t>Wheaton Precious Metals C</t>
        </is>
      </c>
      <c r="D13" s="10" t="n">
        <v>67.59999999999999</v>
      </c>
      <c r="E13" s="10" t="inlineStr">
        <is>
          <t>145%</t>
        </is>
      </c>
      <c r="F13" s="6" t="n">
        <v>50</v>
      </c>
      <c r="G13" s="6" t="n">
        <v>50</v>
      </c>
      <c r="H13" s="10" t="inlineStr">
        <is>
          <t>STRONG MOM</t>
        </is>
      </c>
    </row>
    <row r="14">
      <c r="A14" s="6" t="n">
        <v>8</v>
      </c>
      <c r="B14" s="5" t="inlineStr">
        <is>
          <t>SCCO</t>
        </is>
      </c>
      <c r="C14" s="6" t="inlineStr">
        <is>
          <t>Southern Copper Corporati</t>
        </is>
      </c>
      <c r="D14" s="10" t="n">
        <v>67.3</v>
      </c>
      <c r="E14" s="10" t="inlineStr">
        <is>
          <t>102%</t>
        </is>
      </c>
      <c r="F14" s="6" t="n">
        <v>50</v>
      </c>
      <c r="G14" s="6" t="n">
        <v>50</v>
      </c>
      <c r="H14" s="10" t="inlineStr">
        <is>
          <t>STRONG MOM</t>
        </is>
      </c>
    </row>
    <row r="15">
      <c r="A15" s="6" t="n">
        <v>9</v>
      </c>
      <c r="B15" s="5" t="inlineStr">
        <is>
          <t>NOVN.SW</t>
        </is>
      </c>
      <c r="C15" s="6" t="inlineStr">
        <is>
          <t>NOVARTIS N</t>
        </is>
      </c>
      <c r="D15" s="10" t="n">
        <v>67.2</v>
      </c>
      <c r="E15" s="10" t="inlineStr">
        <is>
          <t>33%</t>
        </is>
      </c>
      <c r="F15" s="6" t="n">
        <v>50</v>
      </c>
      <c r="G15" s="6" t="n">
        <v>50</v>
      </c>
      <c r="H15" s="10" t="inlineStr">
        <is>
          <t>STRONG MOM</t>
        </is>
      </c>
    </row>
    <row r="16">
      <c r="A16" s="6" t="n">
        <v>10</v>
      </c>
      <c r="B16" s="5" t="inlineStr">
        <is>
          <t>WBD</t>
        </is>
      </c>
      <c r="C16" s="6" t="inlineStr">
        <is>
          <t>Warner Bros. Discovery, I</t>
        </is>
      </c>
      <c r="D16" s="10" t="n">
        <v>67</v>
      </c>
      <c r="E16" s="10" t="inlineStr">
        <is>
          <t>179%</t>
        </is>
      </c>
      <c r="F16" s="6" t="n">
        <v>50</v>
      </c>
      <c r="G16" s="6" t="n">
        <v>50</v>
      </c>
      <c r="H16" s="10" t="inlineStr">
        <is>
          <t>STRONG MOM</t>
        </is>
      </c>
    </row>
    <row r="17">
      <c r="A17" s="6" t="n">
        <v>11</v>
      </c>
      <c r="B17" s="5" t="inlineStr">
        <is>
          <t>JNJ</t>
        </is>
      </c>
      <c r="C17" s="6" t="inlineStr">
        <is>
          <t>Johnson &amp; Johnson</t>
        </is>
      </c>
      <c r="D17" s="10" t="n">
        <v>67</v>
      </c>
      <c r="E17" s="10" t="inlineStr">
        <is>
          <t>54%</t>
        </is>
      </c>
      <c r="F17" s="6" t="n">
        <v>50</v>
      </c>
      <c r="G17" s="6" t="n">
        <v>50</v>
      </c>
      <c r="H17" s="10" t="inlineStr">
        <is>
          <t>STRONG MOM</t>
        </is>
      </c>
    </row>
    <row r="18">
      <c r="A18" s="6" t="n">
        <v>12</v>
      </c>
      <c r="B18" s="5" t="inlineStr">
        <is>
          <t>VALE</t>
        </is>
      </c>
      <c r="C18" s="6" t="inlineStr">
        <is>
          <t>VALE S.A.</t>
        </is>
      </c>
      <c r="D18" s="10" t="n">
        <v>66.8</v>
      </c>
      <c r="E18" s="10" t="inlineStr">
        <is>
          <t>94%</t>
        </is>
      </c>
      <c r="F18" s="6" t="n">
        <v>50</v>
      </c>
      <c r="G18" s="6" t="n">
        <v>50</v>
      </c>
      <c r="H18" s="10" t="inlineStr">
        <is>
          <t>STRONG MOM</t>
        </is>
      </c>
    </row>
    <row r="19">
      <c r="A19" s="6" t="n">
        <v>13</v>
      </c>
      <c r="B19" s="5" t="inlineStr">
        <is>
          <t>ROG.SW</t>
        </is>
      </c>
      <c r="C19" s="6" t="inlineStr">
        <is>
          <t>ROCHE GS</t>
        </is>
      </c>
      <c r="D19" s="10" t="n">
        <v>66.59999999999999</v>
      </c>
      <c r="E19" s="10" t="inlineStr">
        <is>
          <t>31%</t>
        </is>
      </c>
      <c r="F19" s="6" t="n">
        <v>50</v>
      </c>
      <c r="G19" s="6" t="n">
        <v>50</v>
      </c>
      <c r="H19" s="10" t="inlineStr">
        <is>
          <t>STRONG MOM</t>
        </is>
      </c>
    </row>
    <row r="20">
      <c r="A20" s="6" t="n">
        <v>14</v>
      </c>
      <c r="B20" s="5" t="inlineStr">
        <is>
          <t>ABBV</t>
        </is>
      </c>
      <c r="C20" s="6" t="inlineStr">
        <is>
          <t>AbbVie Inc.</t>
        </is>
      </c>
      <c r="D20" s="10" t="n">
        <v>66.2</v>
      </c>
      <c r="E20" s="10" t="inlineStr">
        <is>
          <t>33%</t>
        </is>
      </c>
      <c r="F20" s="6" t="n">
        <v>50</v>
      </c>
      <c r="G20" s="6" t="n">
        <v>50</v>
      </c>
      <c r="H20" s="10" t="inlineStr">
        <is>
          <t>STRONG MOM</t>
        </is>
      </c>
    </row>
    <row r="21">
      <c r="A21" s="6" t="n">
        <v>15</v>
      </c>
      <c r="B21" s="5" t="inlineStr">
        <is>
          <t>FNV</t>
        </is>
      </c>
      <c r="C21" s="6" t="inlineStr">
        <is>
          <t>Franco-Nevada Corporation</t>
        </is>
      </c>
      <c r="D21" s="10" t="n">
        <v>66</v>
      </c>
      <c r="E21" s="10" t="inlineStr">
        <is>
          <t>98%</t>
        </is>
      </c>
      <c r="F21" s="6" t="n">
        <v>50</v>
      </c>
      <c r="G21" s="6" t="n">
        <v>50</v>
      </c>
      <c r="H21" s="10" t="inlineStr">
        <is>
          <t>STRONG MOM</t>
        </is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0" customWidth="1" min="4" max="4"/>
    <col width="12" customWidth="1" min="5" max="5"/>
  </cols>
  <sheetData>
    <row r="1">
      <c r="A1" s="1" t="inlineStr">
        <is>
          <t>FONTANERIA MONETARIA - Calculo del Score de Liquidez</t>
        </is>
      </c>
    </row>
    <row r="2">
      <c r="A2" s="43" t="inlineStr">
        <is>
          <t>Analisis de liquidez macro que determina los pesos dinamicos del scoring</t>
        </is>
      </c>
    </row>
    <row r="4">
      <c r="A4" s="39" t="inlineStr">
        <is>
          <t>REGIMEN ACTUAL Y SCORE</t>
        </is>
      </c>
    </row>
    <row r="5">
      <c r="A5" s="48" t="inlineStr">
        <is>
          <t>Regimen: ABUNDANT_LIQUIDITY</t>
        </is>
      </c>
    </row>
    <row r="6">
      <c r="A6" s="49" t="inlineStr">
        <is>
          <t>Score Liquidez: 67.8/100</t>
        </is>
      </c>
    </row>
    <row r="7">
      <c r="A7" t="inlineStr">
        <is>
          <t>🟢 Liquidez abundante - Favorable para risk assets y momentum</t>
        </is>
      </c>
    </row>
    <row r="8">
      <c r="A8" s="50" t="inlineStr">
        <is>
          <t>Recomendacion: Sobreponderar Momentum, infraponderar Defensive</t>
        </is>
      </c>
    </row>
    <row r="10">
      <c r="A10" s="39" t="inlineStr">
        <is>
          <t>CALCULO DEL SCORE DE LIQUIDEZ</t>
        </is>
      </c>
    </row>
    <row r="12">
      <c r="A12" s="50" t="inlineStr">
        <is>
          <t>Formula:</t>
        </is>
      </c>
      <c r="B12" t="inlineStr">
        <is>
          <t>Score = 0.30*NetLiq + 0.25*VIX + 0.20*Credit + 0.15*MOVE + 0.10*Japan</t>
        </is>
      </c>
    </row>
    <row r="14">
      <c r="A14" s="21" t="inlineStr">
        <is>
          <t>Componente</t>
        </is>
      </c>
      <c r="B14" s="21" t="inlineStr">
        <is>
          <t>Valor</t>
        </is>
      </c>
      <c r="C14" s="21" t="inlineStr">
        <is>
          <t>Condicion</t>
        </is>
      </c>
      <c r="D14" s="21" t="inlineStr">
        <is>
          <t>Peso</t>
        </is>
      </c>
      <c r="E14" s="21" t="inlineStr">
        <is>
          <t>Contribucion</t>
        </is>
      </c>
    </row>
    <row r="15">
      <c r="A15" s="6" t="inlineStr">
        <is>
          <t>Net Liquidity</t>
        </is>
      </c>
      <c r="B15" s="6" t="inlineStr">
        <is>
          <t>$-862.68T (+3.9%)</t>
        </is>
      </c>
      <c r="C15" s="6" t="inlineStr">
        <is>
          <t>EXPANDING</t>
        </is>
      </c>
      <c r="D15" s="6" t="inlineStr">
        <is>
          <t>30%</t>
        </is>
      </c>
      <c r="E15" s="6" t="inlineStr">
        <is>
          <t>15.0</t>
        </is>
      </c>
    </row>
    <row r="16">
      <c r="A16" s="6" t="inlineStr">
        <is>
          <t>VIX</t>
        </is>
      </c>
      <c r="B16" s="6" t="inlineStr">
        <is>
          <t>16.1</t>
        </is>
      </c>
      <c r="C16" s="6" t="inlineStr">
        <is>
          <t>NORMAL</t>
        </is>
      </c>
      <c r="D16" s="6" t="inlineStr">
        <is>
          <t>25%</t>
        </is>
      </c>
      <c r="E16" s="6" t="inlineStr">
        <is>
          <t>12.5</t>
        </is>
      </c>
    </row>
    <row r="17">
      <c r="A17" s="6" t="inlineStr">
        <is>
          <t>Credit Spreads</t>
        </is>
      </c>
      <c r="B17" s="6" t="inlineStr">
        <is>
          <t>124.00000000000003 bps</t>
        </is>
      </c>
      <c r="C17" s="6" t="inlineStr">
        <is>
          <t>TIGHT_SPREADS</t>
        </is>
      </c>
      <c r="D17" s="6" t="inlineStr">
        <is>
          <t>20%</t>
        </is>
      </c>
      <c r="E17" s="6" t="inlineStr">
        <is>
          <t>10.0</t>
        </is>
      </c>
    </row>
    <row r="18">
      <c r="A18" s="6" t="inlineStr">
        <is>
          <t>MOVE Index (proxy TLT)</t>
        </is>
      </c>
      <c r="B18" s="6" t="inlineStr">
        <is>
          <t>59</t>
        </is>
      </c>
      <c r="C18" s="6" t="inlineStr">
        <is>
          <t>CALM</t>
        </is>
      </c>
      <c r="D18" s="6" t="inlineStr">
        <is>
          <t>15%</t>
        </is>
      </c>
      <c r="E18" s="6" t="inlineStr">
        <is>
          <t>7.5</t>
        </is>
      </c>
    </row>
    <row r="19">
      <c r="A19" s="6" t="inlineStr">
        <is>
          <t>Japan (USD/JPY + Banks)</t>
        </is>
      </c>
      <c r="B19" s="6" t="inlineStr">
        <is>
          <t>158.5</t>
        </is>
      </c>
      <c r="C19" s="6" t="inlineStr">
        <is>
          <t>ELEVATED_RISK</t>
        </is>
      </c>
      <c r="D19" s="6" t="inlineStr">
        <is>
          <t>10%</t>
        </is>
      </c>
      <c r="E19" s="6" t="inlineStr">
        <is>
          <t>5.0</t>
        </is>
      </c>
    </row>
    <row r="20">
      <c r="A20" s="5" t="inlineStr">
        <is>
          <t>TOTAL SCORE</t>
        </is>
      </c>
      <c r="B20" s="6" t="n"/>
      <c r="C20" s="6" t="n"/>
      <c r="D20" s="6" t="n"/>
      <c r="E20" s="51" t="inlineStr">
        <is>
          <t>67.8</t>
        </is>
      </c>
    </row>
    <row r="22">
      <c r="A22" s="39" t="inlineStr">
        <is>
          <t>SOBRE EL MOVE INDEX</t>
        </is>
      </c>
    </row>
    <row r="24">
      <c r="A24" t="inlineStr">
        <is>
          <t>El MOVE Index (Merrill Lynch Option Volatility Estimate) mide la volatilidad implicita de bonos del Tesoro.</t>
        </is>
      </c>
    </row>
    <row r="25">
      <c r="A25" t="inlineStr">
        <is>
          <t>Es el "VIX de los bonos" - cuando sube, indica stress en renta fija que puede contagiar a acciones.</t>
        </is>
      </c>
    </row>
    <row r="26">
      <c r="A26" t="inlineStr"/>
    </row>
    <row r="27">
      <c r="A27" s="50" t="inlineStr">
        <is>
          <t>POR QUE USAMOS UN PROXY (TLT volatilidad):</t>
        </is>
      </c>
    </row>
    <row r="28">
      <c r="A28" t="inlineStr">
        <is>
          <t>- El MOVE real no esta disponible gratis en APIs publicas</t>
        </is>
      </c>
    </row>
    <row r="29">
      <c r="A29" t="inlineStr">
        <is>
          <t>- Usamos la volatilidad de TLT (ETF de bonos largo plazo) * factor de escala</t>
        </is>
      </c>
    </row>
    <row r="30">
      <c r="A30" t="inlineStr">
        <is>
          <t>- Correlacion historica con MOVE real: &gt;0.85</t>
        </is>
      </c>
    </row>
    <row r="31">
      <c r="A31" t="inlineStr"/>
    </row>
    <row r="32">
      <c r="A32" s="50" t="inlineStr">
        <is>
          <t>INTERPRETACION:</t>
        </is>
      </c>
    </row>
    <row r="33">
      <c r="A33" t="inlineStr">
        <is>
          <t>- MOVE &lt; 80: Mercado de bonos tranquilo, favorable para risk-on</t>
        </is>
      </c>
    </row>
    <row r="34">
      <c r="A34" t="inlineStr">
        <is>
          <t>- MOVE 80-100: Volatilidad normal</t>
        </is>
      </c>
    </row>
    <row r="35">
      <c r="A35" t="inlineStr">
        <is>
          <t>- MOVE 100-120: Volatilidad elevada, precaucion</t>
        </is>
      </c>
    </row>
    <row r="36">
      <c r="A36" t="inlineStr">
        <is>
          <t>- MOVE &gt; 120: Stress en bonos, riesgo de contagio a acciones</t>
        </is>
      </c>
    </row>
    <row r="37">
      <c r="A37" t="inlineStr">
        <is>
          <t>- MOVE &gt; 140: Crisis, reduce exposicion significativamente</t>
        </is>
      </c>
    </row>
    <row r="39">
      <c r="A39" s="39" t="inlineStr">
        <is>
          <t>MI CONCLUSION DE LIQUIDEZ ACTUAL</t>
        </is>
      </c>
    </row>
    <row r="41">
      <c r="A41" s="50" t="inlineStr">
        <is>
          <t>SITUACION ACTUAL: Liquidez ABUNDANTE - Condiciones favorables para risk assets.</t>
        </is>
      </c>
    </row>
    <row r="42">
      <c r="A42" t="inlineStr">
        <is>
          <t>El entorno apoya: Tech, Growth, Small Caps, Momentum fuerte.</t>
        </is>
      </c>
    </row>
    <row r="43">
      <c r="A43" t="inlineStr"/>
    </row>
    <row r="44">
      <c r="A44" s="50" t="inlineStr">
        <is>
          <t>ESTAR ATENTOS A:</t>
        </is>
      </c>
    </row>
    <row r="45">
      <c r="A45" t="inlineStr"/>
    </row>
    <row r="46">
      <c r="A46" s="50" t="inlineStr">
        <is>
          <t>HACIA DONDE VA:</t>
        </is>
      </c>
    </row>
    <row r="47">
      <c r="A47" s="52" t="inlineStr">
        <is>
          <t>- Liquidez en expansion: Entorno mejorando, momentum deberia funcionar</t>
        </is>
      </c>
    </row>
    <row r="49">
      <c r="A49" s="39" t="inlineStr">
        <is>
          <t>AJUSTES DE PESO APLICADOS</t>
        </is>
      </c>
    </row>
    <row r="51">
      <c r="A51" t="inlineStr">
        <is>
          <t>Value</t>
        </is>
      </c>
      <c r="B51" s="53" t="inlineStr">
        <is>
          <t>-5%</t>
        </is>
      </c>
    </row>
    <row r="52">
      <c r="A52" t="inlineStr">
        <is>
          <t>Quality</t>
        </is>
      </c>
      <c r="B52" s="53" t="inlineStr">
        <is>
          <t>-5%</t>
        </is>
      </c>
    </row>
    <row r="53">
      <c r="A53" t="inlineStr">
        <is>
          <t>Momentum</t>
        </is>
      </c>
      <c r="B53" s="54" t="inlineStr">
        <is>
          <t>+15%</t>
        </is>
      </c>
    </row>
    <row r="54">
      <c r="A54" t="inlineStr">
        <is>
          <t>Lowvol</t>
        </is>
      </c>
      <c r="B54" s="53" t="inlineStr">
        <is>
          <t>-10%</t>
        </is>
      </c>
    </row>
    <row r="55">
      <c r="A55" t="inlineStr">
        <is>
          <t>Congress</t>
        </is>
      </c>
      <c r="B55" s="54" t="inlineStr">
        <is>
          <t>+3%</t>
        </is>
      </c>
    </row>
    <row r="56">
      <c r="A56" t="inlineStr">
        <is>
          <t>Polymarket</t>
        </is>
      </c>
      <c r="B56" s="54" t="inlineStr">
        <is>
          <t>+2%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0" customWidth="1" min="3" max="3"/>
    <col width="8" customWidth="1" min="4" max="4"/>
    <col width="10" customWidth="1" min="5" max="5"/>
    <col width="18" customWidth="1" min="6" max="6"/>
    <col width="12" customWidth="1" min="7" max="7"/>
    <col width="10" customWidth="1" min="8" max="8"/>
    <col width="45" customWidth="1" min="9" max="9"/>
  </cols>
  <sheetData>
    <row r="1">
      <c r="A1" s="1" t="inlineStr">
        <is>
          <t>CONGRESS TRADES - Todos los trades de congresistas</t>
        </is>
      </c>
    </row>
    <row r="2">
      <c r="A2" s="30" t="inlineStr">
        <is>
          <t>Historial completo de trades de congresistas. Los tickers donde MAS congresistas coinciden tienen mayor probabilidad de senal.</t>
        </is>
      </c>
    </row>
    <row r="4">
      <c r="A4" s="39" t="inlineStr">
        <is>
          <t>TICKERS MAS POPULARES ENTRE CONGRESISTAS</t>
        </is>
      </c>
    </row>
    <row r="5">
      <c r="A5" s="55" t="inlineStr">
        <is>
          <t>Tickers donde multiples congresistas coinciden. Mayor coincidencia = senal mas fuerte.</t>
        </is>
      </c>
    </row>
    <row r="7">
      <c r="A7" s="21" t="inlineStr">
        <is>
          <t>Rank</t>
        </is>
      </c>
      <c r="B7" s="21" t="inlineStr">
        <is>
          <t>Ticker</t>
        </is>
      </c>
      <c r="C7" s="21" t="inlineStr">
        <is>
          <t>Total Trades</t>
        </is>
      </c>
      <c r="D7" s="21" t="inlineStr">
        <is>
          <t>Compras</t>
        </is>
      </c>
      <c r="E7" s="21" t="inlineStr">
        <is>
          <t>Ventas</t>
        </is>
      </c>
      <c r="F7" s="21" t="inlineStr">
        <is>
          <t>Ratio C/V</t>
        </is>
      </c>
      <c r="G7" s="21" t="inlineStr">
        <is>
          <t>Politicos</t>
        </is>
      </c>
      <c r="H7" s="21" t="inlineStr">
        <is>
          <t>Senal</t>
        </is>
      </c>
      <c r="I7" s="21" t="inlineStr">
        <is>
          <t>Link</t>
        </is>
      </c>
    </row>
    <row r="8">
      <c r="A8" s="6" t="n">
        <v>1</v>
      </c>
      <c r="B8" s="5" t="inlineStr">
        <is>
          <t>XOM</t>
        </is>
      </c>
      <c r="C8" s="6" t="n">
        <v>1</v>
      </c>
      <c r="D8" s="6" t="n">
        <v>1</v>
      </c>
      <c r="E8" s="6" t="n">
        <v>0</v>
      </c>
      <c r="F8" s="6" t="inlineStr">
        <is>
          <t>Solo compras</t>
        </is>
      </c>
      <c r="G8" s="6" t="n">
        <v>1</v>
      </c>
      <c r="H8" s="6" t="inlineStr">
        <is>
          <t>NEUTRAL</t>
        </is>
      </c>
      <c r="I8" s="41" t="inlineStr">
        <is>
          <t>https://housestockwatcher.com/summary_by_ticker/XOM</t>
        </is>
      </c>
    </row>
    <row r="9">
      <c r="A9" s="6" t="n">
        <v>2</v>
      </c>
      <c r="B9" s="5" t="inlineStr">
        <is>
          <t>MSFT</t>
        </is>
      </c>
      <c r="C9" s="6" t="n">
        <v>1</v>
      </c>
      <c r="D9" s="6" t="n">
        <v>0</v>
      </c>
      <c r="E9" s="6" t="n">
        <v>1</v>
      </c>
      <c r="F9" s="6" t="inlineStr">
        <is>
          <t>0.0x</t>
        </is>
      </c>
      <c r="G9" s="6" t="n">
        <v>1</v>
      </c>
      <c r="H9" s="6" t="inlineStr">
        <is>
          <t>NEUTRAL</t>
        </is>
      </c>
      <c r="I9" s="41" t="inlineStr">
        <is>
          <t>https://housestockwatcher.com/summary_by_ticker/MSFT</t>
        </is>
      </c>
    </row>
    <row r="10">
      <c r="A10" s="6" t="n">
        <v>3</v>
      </c>
      <c r="B10" s="5" t="inlineStr">
        <is>
          <t>NVDA</t>
        </is>
      </c>
      <c r="C10" s="6" t="n">
        <v>1</v>
      </c>
      <c r="D10" s="6" t="n">
        <v>1</v>
      </c>
      <c r="E10" s="6" t="n">
        <v>0</v>
      </c>
      <c r="F10" s="6" t="inlineStr">
        <is>
          <t>Solo compras</t>
        </is>
      </c>
      <c r="G10" s="6" t="n">
        <v>1</v>
      </c>
      <c r="H10" s="6" t="inlineStr">
        <is>
          <t>NEUTRAL</t>
        </is>
      </c>
      <c r="I10" s="41" t="inlineStr">
        <is>
          <t>https://housestockwatcher.com/summary_by_ticker/NVDA</t>
        </is>
      </c>
    </row>
    <row r="11">
      <c r="A11" s="6" t="n">
        <v>4</v>
      </c>
      <c r="B11" s="5" t="inlineStr">
        <is>
          <t>GOOGL</t>
        </is>
      </c>
      <c r="C11" s="6" t="n">
        <v>1</v>
      </c>
      <c r="D11" s="6" t="n">
        <v>1</v>
      </c>
      <c r="E11" s="6" t="n">
        <v>0</v>
      </c>
      <c r="F11" s="6" t="inlineStr">
        <is>
          <t>Solo compras</t>
        </is>
      </c>
      <c r="G11" s="6" t="n">
        <v>1</v>
      </c>
      <c r="H11" s="6" t="inlineStr">
        <is>
          <t>NEUTRAL</t>
        </is>
      </c>
      <c r="I11" s="41" t="inlineStr">
        <is>
          <t>https://housestockwatcher.com/summary_by_ticker/GOOGL</t>
        </is>
      </c>
    </row>
    <row r="14">
      <c r="A14" s="39" t="inlineStr">
        <is>
          <t>DETALLE DE TRADES RECIENTES (ultimos 90 dias)</t>
        </is>
      </c>
    </row>
    <row r="16">
      <c r="A16" s="21" t="inlineStr">
        <is>
          <t>Ticker</t>
        </is>
      </c>
      <c r="B16" s="21" t="inlineStr">
        <is>
          <t>Politico</t>
        </is>
      </c>
      <c r="C16" s="21" t="inlineStr">
        <is>
          <t>Partido</t>
        </is>
      </c>
      <c r="D16" s="21" t="inlineStr">
        <is>
          <t>Accion</t>
        </is>
      </c>
      <c r="E16" s="21" t="inlineStr">
        <is>
          <t>Monto</t>
        </is>
      </c>
      <c r="F16" s="21" t="inlineStr">
        <is>
          <t>Fecha</t>
        </is>
      </c>
      <c r="G16" s="21" t="inlineStr">
        <is>
          <t>Camara</t>
        </is>
      </c>
      <c r="H16" s="21" t="inlineStr">
        <is>
          <t>Link</t>
        </is>
      </c>
    </row>
    <row r="17">
      <c r="A17" s="5" t="inlineStr">
        <is>
          <t>XOM</t>
        </is>
      </c>
      <c r="B17" s="6" t="inlineStr">
        <is>
          <t>Tommy Tuberville</t>
        </is>
      </c>
      <c r="C17" s="40" t="inlineStr">
        <is>
          <t>R</t>
        </is>
      </c>
      <c r="D17" s="10" t="inlineStr">
        <is>
          <t>COMPRA</t>
        </is>
      </c>
      <c r="E17" s="6" t="inlineStr"/>
      <c r="F17" s="6" t="inlineStr">
        <is>
          <t>2024-12-20</t>
        </is>
      </c>
      <c r="G17" s="6" t="inlineStr">
        <is>
          <t>senate</t>
        </is>
      </c>
      <c r="H17" s="41" t="inlineStr">
        <is>
          <t>https://housestockwatcher.com/summary_by_ticker/XOM</t>
        </is>
      </c>
    </row>
    <row r="18">
      <c r="A18" s="5" t="inlineStr">
        <is>
          <t>MSFT</t>
        </is>
      </c>
      <c r="B18" s="6" t="inlineStr">
        <is>
          <t>Dan Crenshaw</t>
        </is>
      </c>
      <c r="C18" s="40" t="inlineStr">
        <is>
          <t>R</t>
        </is>
      </c>
      <c r="D18" s="13" t="inlineStr">
        <is>
          <t>VENTA</t>
        </is>
      </c>
      <c r="E18" s="6" t="inlineStr"/>
      <c r="F18" s="6" t="inlineStr">
        <is>
          <t>2024-12-18</t>
        </is>
      </c>
      <c r="G18" s="6" t="inlineStr">
        <is>
          <t>house</t>
        </is>
      </c>
      <c r="H18" s="41" t="inlineStr">
        <is>
          <t>https://housestockwatcher.com/summary_by_ticker/MSFT</t>
        </is>
      </c>
    </row>
    <row r="19">
      <c r="A19" s="5" t="inlineStr">
        <is>
          <t>NVDA</t>
        </is>
      </c>
      <c r="B19" s="6" t="inlineStr">
        <is>
          <t>Nancy Pelosi</t>
        </is>
      </c>
      <c r="C19" s="42" t="inlineStr">
        <is>
          <t>D</t>
        </is>
      </c>
      <c r="D19" s="10" t="inlineStr">
        <is>
          <t>COMPRA</t>
        </is>
      </c>
      <c r="E19" s="6" t="inlineStr"/>
      <c r="F19" s="6" t="inlineStr">
        <is>
          <t>2024-12-15</t>
        </is>
      </c>
      <c r="G19" s="6" t="inlineStr">
        <is>
          <t>house</t>
        </is>
      </c>
      <c r="H19" s="41" t="inlineStr">
        <is>
          <t>https://housestockwatcher.com/summary_by_ticker/NVDA</t>
        </is>
      </c>
    </row>
    <row r="20">
      <c r="A20" s="5" t="inlineStr">
        <is>
          <t>GOOGL</t>
        </is>
      </c>
      <c r="B20" s="6" t="inlineStr">
        <is>
          <t>Nancy Pelosi</t>
        </is>
      </c>
      <c r="C20" s="42" t="inlineStr">
        <is>
          <t>D</t>
        </is>
      </c>
      <c r="D20" s="10" t="inlineStr">
        <is>
          <t>COMPRA</t>
        </is>
      </c>
      <c r="E20" s="6" t="inlineStr"/>
      <c r="F20" s="6" t="inlineStr">
        <is>
          <t>2024-12-10</t>
        </is>
      </c>
      <c r="G20" s="6" t="inlineStr">
        <is>
          <t>house</t>
        </is>
      </c>
      <c r="H20" s="41" t="inlineStr">
        <is>
          <t>https://housestockwatcher.com/summary_by_ticker/GOOGL</t>
        </is>
      </c>
    </row>
    <row r="23">
      <c r="A23" s="39" t="inlineStr">
        <is>
          <t>CORRELACIONES DE MERCADO ACTIVADAS</t>
        </is>
      </c>
    </row>
    <row r="25">
      <c r="A25" s="43" t="inlineStr">
        <is>
          <t>No hay correlaciones activadas actualmente.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9"/>
  <sheetViews>
    <sheetView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20" customWidth="1" min="3" max="3"/>
    <col width="20" customWidth="1" min="4" max="4"/>
  </cols>
  <sheetData>
    <row r="1">
      <c r="A1" s="1" t="inlineStr">
        <is>
          <t>GUIA DE ESTRATEGIAS - Que hacer segun tu horizonte temporal</t>
        </is>
      </c>
    </row>
    <row r="3">
      <c r="A3" s="56" t="inlineStr">
        <is>
          <t>La estrategia optima depende de tu horizonte. NO es lo mismo invertir a 1 semana que a 5 anos.</t>
        </is>
      </c>
    </row>
    <row r="5">
      <c r="A5" s="39" t="inlineStr">
        <is>
          <t>Especulativo/Trading (1-14 días)</t>
        </is>
      </c>
    </row>
    <row r="6">
      <c r="A6" s="43" t="inlineStr">
        <is>
          <t>Para traders activos. Alto riesgo, alta recompensa potencial.</t>
        </is>
      </c>
    </row>
    <row r="8">
      <c r="A8" s="5" t="inlineStr">
        <is>
          <t>Tamano posicion</t>
        </is>
      </c>
      <c r="B8" s="6" t="inlineStr">
        <is>
          <t>Pequeñas (2-5% cartera)</t>
        </is>
      </c>
    </row>
    <row r="9">
      <c r="A9" s="5" t="inlineStr">
        <is>
          <t>Stop Loss</t>
        </is>
      </c>
      <c r="B9" s="6" t="inlineStr">
        <is>
          <t>5-8%</t>
        </is>
      </c>
    </row>
    <row r="10">
      <c r="A10" s="5" t="inlineStr">
        <is>
          <t>Take Profit</t>
        </is>
      </c>
      <c r="B10" s="6" t="inlineStr">
        <is>
          <t>10-20%</t>
        </is>
      </c>
    </row>
    <row r="11">
      <c r="A11" s="5" t="inlineStr">
        <is>
          <t>Rebalanceo</t>
        </is>
      </c>
      <c r="B11" s="6" t="inlineStr">
        <is>
          <t>Diario</t>
        </is>
      </c>
    </row>
    <row r="12">
      <c r="A12" s="5" t="inlineStr">
        <is>
          <t>Senales a usar</t>
        </is>
      </c>
      <c r="B12" s="6" t="inlineStr">
        <is>
          <t>STRONG BUY, BUY</t>
        </is>
      </c>
    </row>
    <row r="13">
      <c r="A13" s="5" t="inlineStr">
        <is>
          <t>Mejor para</t>
        </is>
      </c>
      <c r="B13" s="6" t="inlineStr">
        <is>
          <t>Congress trades recientes, momentum breakouts</t>
        </is>
      </c>
    </row>
    <row r="14">
      <c r="A14" s="5" t="inlineStr">
        <is>
          <t>Funciona cuando</t>
        </is>
      </c>
      <c r="B14" s="6" t="inlineStr">
        <is>
          <t>Mercados trending, alta volatilidad</t>
        </is>
      </c>
    </row>
    <row r="15">
      <c r="A15" s="5" t="inlineStr">
        <is>
          <t>Falla cuando</t>
        </is>
      </c>
      <c r="B15" s="6" t="inlineStr">
        <is>
          <t>Mercados laterales, baja liquidez</t>
        </is>
      </c>
    </row>
    <row r="17">
      <c r="A17" s="57" t="inlineStr">
        <is>
          <t>Pesos recomendados:</t>
        </is>
      </c>
    </row>
    <row r="18">
      <c r="A18" t="inlineStr">
        <is>
          <t>Momentum</t>
        </is>
      </c>
      <c r="B18" t="inlineStr">
        <is>
          <t>40%</t>
        </is>
      </c>
    </row>
    <row r="19">
      <c r="A19" t="inlineStr">
        <is>
          <t>Technical</t>
        </is>
      </c>
      <c r="B19" t="inlineStr">
        <is>
          <t>30%</t>
        </is>
      </c>
    </row>
    <row r="20">
      <c r="A20" t="inlineStr">
        <is>
          <t>Congress</t>
        </is>
      </c>
      <c r="B20" t="inlineStr">
        <is>
          <t>15%</t>
        </is>
      </c>
    </row>
    <row r="21">
      <c r="A21" t="inlineStr">
        <is>
          <t>News_sentiment</t>
        </is>
      </c>
      <c r="B21" t="inlineStr">
        <is>
          <t>15%</t>
        </is>
      </c>
    </row>
    <row r="24">
      <c r="A24" s="39" t="inlineStr">
        <is>
          <t>Swing Trading (2-12 semanas)</t>
        </is>
      </c>
    </row>
    <row r="25">
      <c r="A25" s="43" t="inlineStr">
        <is>
          <t>Capturar movimientos de semanas. Balance riesgo/recompensa.</t>
        </is>
      </c>
    </row>
    <row r="27">
      <c r="A27" s="5" t="inlineStr">
        <is>
          <t>Tamano posicion</t>
        </is>
      </c>
      <c r="B27" s="6" t="inlineStr">
        <is>
          <t>Medianas (5-10% cartera)</t>
        </is>
      </c>
    </row>
    <row r="28">
      <c r="A28" s="5" t="inlineStr">
        <is>
          <t>Stop Loss</t>
        </is>
      </c>
      <c r="B28" s="6" t="inlineStr">
        <is>
          <t>10-15%</t>
        </is>
      </c>
    </row>
    <row r="29">
      <c r="A29" s="5" t="inlineStr">
        <is>
          <t>Take Profit</t>
        </is>
      </c>
      <c r="B29" s="6" t="inlineStr">
        <is>
          <t>20-40%</t>
        </is>
      </c>
    </row>
    <row r="30">
      <c r="A30" s="5" t="inlineStr">
        <is>
          <t>Rebalanceo</t>
        </is>
      </c>
      <c r="B30" s="6" t="inlineStr">
        <is>
          <t>Semanal</t>
        </is>
      </c>
    </row>
    <row r="31">
      <c r="A31" s="5" t="inlineStr">
        <is>
          <t>Senales a usar</t>
        </is>
      </c>
      <c r="B31" s="6" t="inlineStr">
        <is>
          <t>STRONG BUY, BUY, ACCUMULATE</t>
        </is>
      </c>
    </row>
    <row r="32">
      <c r="A32" s="5" t="inlineStr">
        <is>
          <t>Mejor para</t>
        </is>
      </c>
      <c r="B32" s="6" t="inlineStr">
        <is>
          <t>Correlaciones activadas, eventos catalizadores</t>
        </is>
      </c>
    </row>
    <row r="33">
      <c r="A33" s="5" t="inlineStr">
        <is>
          <t>Funciona cuando</t>
        </is>
      </c>
      <c r="B33" s="6" t="inlineStr">
        <is>
          <t>Rotaciones sectoriales, earnings season</t>
        </is>
      </c>
    </row>
    <row r="34">
      <c r="A34" s="5" t="inlineStr">
        <is>
          <t>Falla cuando</t>
        </is>
      </c>
      <c r="B34" s="6" t="inlineStr">
        <is>
          <t>Crisis sistémicas, bear markets</t>
        </is>
      </c>
    </row>
    <row r="36">
      <c r="A36" s="57" t="inlineStr">
        <is>
          <t>Pesos recomendados:</t>
        </is>
      </c>
    </row>
    <row r="37">
      <c r="A37" t="inlineStr">
        <is>
          <t>Momentum</t>
        </is>
      </c>
      <c r="B37" t="inlineStr">
        <is>
          <t>35%</t>
        </is>
      </c>
    </row>
    <row r="38">
      <c r="A38" t="inlineStr">
        <is>
          <t>Quality</t>
        </is>
      </c>
      <c r="B38" t="inlineStr">
        <is>
          <t>25%</t>
        </is>
      </c>
    </row>
    <row r="39">
      <c r="A39" t="inlineStr">
        <is>
          <t>Value</t>
        </is>
      </c>
      <c r="B39" t="inlineStr">
        <is>
          <t>15%</t>
        </is>
      </c>
    </row>
    <row r="40">
      <c r="A40" t="inlineStr">
        <is>
          <t>Congress</t>
        </is>
      </c>
      <c r="B40" t="inlineStr">
        <is>
          <t>15%</t>
        </is>
      </c>
    </row>
    <row r="41">
      <c r="A41" t="inlineStr">
        <is>
          <t>Polymarket</t>
        </is>
      </c>
      <c r="B41" t="inlineStr">
        <is>
          <t>10%</t>
        </is>
      </c>
    </row>
    <row r="44">
      <c r="A44" s="39" t="inlineStr">
        <is>
          <t>Position Trading (3-12 meses)</t>
        </is>
      </c>
    </row>
    <row r="45">
      <c r="A45" s="43" t="inlineStr">
        <is>
          <t>Capturar tendencias mayores. Menor ruido, mejor ratio.</t>
        </is>
      </c>
    </row>
    <row r="47">
      <c r="A47" s="5" t="inlineStr">
        <is>
          <t>Tamano posicion</t>
        </is>
      </c>
      <c r="B47" s="6" t="inlineStr">
        <is>
          <t>Significativas (10-15% cartera)</t>
        </is>
      </c>
    </row>
    <row r="48">
      <c r="A48" s="5" t="inlineStr">
        <is>
          <t>Stop Loss</t>
        </is>
      </c>
      <c r="B48" s="6" t="inlineStr">
        <is>
          <t>15-20%</t>
        </is>
      </c>
    </row>
    <row r="49">
      <c r="A49" s="5" t="inlineStr">
        <is>
          <t>Take Profit</t>
        </is>
      </c>
      <c r="B49" s="6" t="inlineStr">
        <is>
          <t>40-80%</t>
        </is>
      </c>
    </row>
    <row r="50">
      <c r="A50" s="5" t="inlineStr">
        <is>
          <t>Rebalanceo</t>
        </is>
      </c>
      <c r="B50" s="6" t="inlineStr">
        <is>
          <t>Mensual</t>
        </is>
      </c>
    </row>
    <row r="51">
      <c r="A51" s="5" t="inlineStr">
        <is>
          <t>Senales a usar</t>
        </is>
      </c>
      <c r="B51" s="6" t="inlineStr">
        <is>
          <t>STRONG BUY, BUY, ACCUMULATE</t>
        </is>
      </c>
    </row>
    <row r="52">
      <c r="A52" s="5" t="inlineStr">
        <is>
          <t>Mejor para</t>
        </is>
      </c>
      <c r="B52" s="6" t="inlineStr">
        <is>
          <t>Empresas de calidad con momentum, cambios régimen monetario</t>
        </is>
      </c>
    </row>
    <row r="53">
      <c r="A53" s="5" t="inlineStr">
        <is>
          <t>Funciona cuando</t>
        </is>
      </c>
      <c r="B53" s="6" t="inlineStr">
        <is>
          <t>Bull markets, expansión económica</t>
        </is>
      </c>
    </row>
    <row r="54">
      <c r="A54" s="5" t="inlineStr">
        <is>
          <t>Falla cuando</t>
        </is>
      </c>
      <c r="B54" s="6" t="inlineStr">
        <is>
          <t>Recesiones, crashes</t>
        </is>
      </c>
    </row>
    <row r="56">
      <c r="A56" s="57" t="inlineStr">
        <is>
          <t>Pesos recomendados:</t>
        </is>
      </c>
    </row>
    <row r="57">
      <c r="A57" t="inlineStr">
        <is>
          <t>Quality</t>
        </is>
      </c>
      <c r="B57" t="inlineStr">
        <is>
          <t>30%</t>
        </is>
      </c>
    </row>
    <row r="58">
      <c r="A58" t="inlineStr">
        <is>
          <t>Momentum</t>
        </is>
      </c>
      <c r="B58" t="inlineStr">
        <is>
          <t>25%</t>
        </is>
      </c>
    </row>
    <row r="59">
      <c r="A59" t="inlineStr">
        <is>
          <t>Value</t>
        </is>
      </c>
      <c r="B59" t="inlineStr">
        <is>
          <t>20%</t>
        </is>
      </c>
    </row>
    <row r="60">
      <c r="A60" t="inlineStr">
        <is>
          <t>Lowvol</t>
        </is>
      </c>
      <c r="B60" t="inlineStr">
        <is>
          <t>15%</t>
        </is>
      </c>
    </row>
    <row r="61">
      <c r="A61" t="inlineStr">
        <is>
          <t>Congress</t>
        </is>
      </c>
      <c r="B61" t="inlineStr">
        <is>
          <t>10%</t>
        </is>
      </c>
    </row>
    <row r="64">
      <c r="A64" s="39" t="inlineStr">
        <is>
          <t>Inversión Value-Quality (1-5+ años)</t>
        </is>
      </c>
    </row>
    <row r="65">
      <c r="A65" s="43" t="inlineStr">
        <is>
          <t>Compounding a largo plazo. Menor estrés, mejores resultados históricos.</t>
        </is>
      </c>
    </row>
    <row r="67">
      <c r="A67" s="5" t="inlineStr">
        <is>
          <t>Tamano posicion</t>
        </is>
      </c>
      <c r="B67" s="6" t="inlineStr">
        <is>
          <t>Core positions (15-25% cartera)</t>
        </is>
      </c>
    </row>
    <row r="68">
      <c r="A68" s="5" t="inlineStr">
        <is>
          <t>Stop Loss</t>
        </is>
      </c>
      <c r="B68" s="6" t="inlineStr">
        <is>
          <t>No fijo (fundamentales)</t>
        </is>
      </c>
    </row>
    <row r="69">
      <c r="A69" s="5" t="inlineStr">
        <is>
          <t>Take Profit</t>
        </is>
      </c>
      <c r="B69" s="6" t="inlineStr">
        <is>
          <t>No fijo (hold mientras tesis válida)</t>
        </is>
      </c>
    </row>
    <row r="70">
      <c r="A70" s="5" t="inlineStr">
        <is>
          <t>Rebalanceo</t>
        </is>
      </c>
      <c r="B70" s="6" t="inlineStr">
        <is>
          <t>Trimestral</t>
        </is>
      </c>
    </row>
    <row r="71">
      <c r="A71" s="5" t="inlineStr">
        <is>
          <t>Senales a usar</t>
        </is>
      </c>
      <c r="B71" s="6" t="inlineStr">
        <is>
          <t>STRONG BUY, BUY</t>
        </is>
      </c>
    </row>
    <row r="72">
      <c r="A72" s="5" t="inlineStr">
        <is>
          <t>Mejor para</t>
        </is>
      </c>
      <c r="B72" s="6" t="inlineStr">
        <is>
          <t>Empresas dominantes, moats, dividendos crecientes</t>
        </is>
      </c>
    </row>
    <row r="73">
      <c r="A73" s="5" t="inlineStr">
        <is>
          <t>Funciona cuando</t>
        </is>
      </c>
      <c r="B73" s="6" t="inlineStr">
        <is>
          <t>Siempre (a largo plazo)</t>
        </is>
      </c>
    </row>
    <row r="74">
      <c r="A74" s="5" t="inlineStr">
        <is>
          <t>Falla cuando</t>
        </is>
      </c>
      <c r="B74" s="6" t="inlineStr">
        <is>
          <t>Disrupciones tecnológicas en la empresa</t>
        </is>
      </c>
    </row>
    <row r="76">
      <c r="A76" s="57" t="inlineStr">
        <is>
          <t>Pesos recomendados:</t>
        </is>
      </c>
    </row>
    <row r="77">
      <c r="A77" t="inlineStr">
        <is>
          <t>Quality</t>
        </is>
      </c>
      <c r="B77" t="inlineStr">
        <is>
          <t>35%</t>
        </is>
      </c>
    </row>
    <row r="78">
      <c r="A78" t="inlineStr">
        <is>
          <t>Value</t>
        </is>
      </c>
      <c r="B78" t="inlineStr">
        <is>
          <t>35%</t>
        </is>
      </c>
    </row>
    <row r="79">
      <c r="A79" t="inlineStr">
        <is>
          <t>Lowvol</t>
        </is>
      </c>
      <c r="B79" t="inlineStr">
        <is>
          <t>20%</t>
        </is>
      </c>
    </row>
    <row r="80">
      <c r="A80" t="inlineStr">
        <is>
          <t>Momentum</t>
        </is>
      </c>
      <c r="B80" t="inlineStr">
        <is>
          <t>10%</t>
        </is>
      </c>
    </row>
    <row r="85">
      <c r="A85" s="58" t="inlineStr">
        <is>
          <t>RECOMENDACION FINAL</t>
        </is>
      </c>
    </row>
    <row r="87">
      <c r="A87" t="inlineStr">
        <is>
          <t>Para la MAYORIA de inversores: Estrategia LONG-TERM (Value+Quality)</t>
        </is>
      </c>
    </row>
    <row r="88">
      <c r="A88" t="inlineStr">
        <is>
          <t xml:space="preserve">  - Menor estres, mejor rendimiento historico ajustado por riesgo</t>
        </is>
      </c>
    </row>
    <row r="89">
      <c r="A89" t="inlineStr">
        <is>
          <t xml:space="preserve">  - Solo requiere revision trimestral</t>
        </is>
      </c>
    </row>
    <row r="90">
      <c r="A90" t="inlineStr">
        <is>
          <t xml:space="preserve">  - Funciona en cualquier condicion de mercado (a largo plazo)</t>
        </is>
      </c>
    </row>
    <row r="91">
      <c r="A91" t="inlineStr"/>
    </row>
    <row r="92">
      <c r="A92" t="inlineStr">
        <is>
          <t>Para traders ACTIVOS: Combinar MEDIUM-TERM con triggers de CONGRESS</t>
        </is>
      </c>
    </row>
    <row r="93">
      <c r="A93" t="inlineStr">
        <is>
          <t xml:space="preserve">  - Los trades de congresistas son un "edge" real (informacion privilegiada legal)</t>
        </is>
      </c>
    </row>
    <row r="94">
      <c r="A94" t="inlineStr">
        <is>
          <t xml:space="preserve">  - Seguir correlaciones de mercado para timing</t>
        </is>
      </c>
    </row>
    <row r="95">
      <c r="A95" t="inlineStr"/>
    </row>
    <row r="96">
      <c r="A96" t="inlineStr">
        <is>
          <t>EVITAR: Trading muy corto plazo a menos que seas profesional</t>
        </is>
      </c>
    </row>
    <row r="97">
      <c r="A97" t="inlineStr">
        <is>
          <t xml:space="preserve">  - Comisiones y spread erosionan ganancias</t>
        </is>
      </c>
    </row>
    <row r="98">
      <c r="A98" t="inlineStr">
        <is>
          <t xml:space="preserve">  - Requiere dedicacion de tiempo completo</t>
        </is>
      </c>
    </row>
    <row r="99">
      <c r="A99" t="inlineStr">
        <is>
          <t xml:space="preserve">  - La mayoria pierde dinero en day trading</t>
        </is>
      </c>
    </row>
  </sheetData>
  <mergeCells count="9">
    <mergeCell ref="A5:D5"/>
    <mergeCell ref="A45:D45"/>
    <mergeCell ref="A6:D6"/>
    <mergeCell ref="A64:D64"/>
    <mergeCell ref="A1:E1"/>
    <mergeCell ref="A25:D25"/>
    <mergeCell ref="A24:D24"/>
    <mergeCell ref="A65:D65"/>
    <mergeCell ref="A44:D4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35" customWidth="1" min="3" max="3"/>
    <col width="30" customWidth="1" min="4" max="4"/>
  </cols>
  <sheetData>
    <row r="1">
      <c r="A1" s="1" t="inlineStr">
        <is>
          <t>GLOSARIO COMPLETO - Metricas, Ratios y Calculos del Sistema</t>
        </is>
      </c>
    </row>
    <row r="2">
      <c r="A2" s="30" t="inlineStr">
        <is>
          <t>Referencia rapida de todas las metricas usadas en el analisis. Usa este glosario para entender cada columna y ratio.</t>
        </is>
      </c>
    </row>
    <row r="4">
      <c r="A4" s="6" t="inlineStr"/>
      <c r="B4" s="6" t="inlineStr"/>
      <c r="C4" s="6" t="inlineStr"/>
      <c r="D4" s="6" t="inlineStr"/>
    </row>
    <row r="5">
      <c r="A5" s="44" t="inlineStr">
        <is>
          <t>RATIOS DE VALORACION</t>
        </is>
      </c>
      <c r="B5" s="6" t="inlineStr"/>
      <c r="C5" s="6" t="inlineStr"/>
      <c r="D5" s="6" t="inlineStr"/>
    </row>
    <row r="6">
      <c r="A6" s="45" t="inlineStr">
        <is>
          <t>Ratio</t>
        </is>
      </c>
      <c r="B6" s="45" t="inlineStr">
        <is>
          <t>Que mide</t>
        </is>
      </c>
      <c r="C6" s="45" t="inlineStr">
        <is>
          <t>Bueno si...</t>
        </is>
      </c>
      <c r="D6" s="45" t="inlineStr">
        <is>
          <t>Como se usa en el score</t>
        </is>
      </c>
    </row>
    <row r="7">
      <c r="A7" s="6" t="inlineStr">
        <is>
          <t>P/E (Price/Earnings)</t>
        </is>
      </c>
      <c r="B7" s="6" t="inlineStr">
        <is>
          <t>Precio / Beneficio por accion</t>
        </is>
      </c>
      <c r="C7" s="6" t="inlineStr">
        <is>
          <t>Bajo (&lt;15 barato, &gt;25 caro)</t>
        </is>
      </c>
      <c r="D7" s="6" t="inlineStr">
        <is>
          <t>Percentil: menor P/E = mejor Value score</t>
        </is>
      </c>
    </row>
    <row r="8">
      <c r="A8" s="6" t="inlineStr">
        <is>
          <t>Fwd P/E</t>
        </is>
      </c>
      <c r="B8" s="6" t="inlineStr">
        <is>
          <t>P/E usando beneficio estimado proximo ano</t>
        </is>
      </c>
      <c r="C8" s="6" t="inlineStr">
        <is>
          <t>Bajo (&lt;15 barato)</t>
        </is>
      </c>
      <c r="D8" s="6" t="inlineStr">
        <is>
          <t>Mas relevante que P/E historico</t>
        </is>
      </c>
    </row>
    <row r="9">
      <c r="A9" s="6" t="inlineStr">
        <is>
          <t>P/B (Price/Book)</t>
        </is>
      </c>
      <c r="B9" s="6" t="inlineStr">
        <is>
          <t>Precio / Valor contable por accion</t>
        </is>
      </c>
      <c r="C9" s="6" t="inlineStr">
        <is>
          <t>Bajo (&lt;2 barato, &gt;5 caro)</t>
        </is>
      </c>
      <c r="D9" s="6" t="inlineStr">
        <is>
          <t>Util para bancos y value investing</t>
        </is>
      </c>
    </row>
    <row r="10">
      <c r="A10" s="6" t="inlineStr">
        <is>
          <t>EV/EBITDA</t>
        </is>
      </c>
      <c r="B10" s="6" t="inlineStr">
        <is>
          <t>Valor empresa / Beneficio operativo</t>
        </is>
      </c>
      <c r="C10" s="6" t="inlineStr">
        <is>
          <t>Bajo (&lt;10 barato, &gt;15 caro)</t>
        </is>
      </c>
      <c r="D10" s="6" t="inlineStr">
        <is>
          <t>Mejor que P/E para comparar empresas con distinta deuda</t>
        </is>
      </c>
    </row>
    <row r="11">
      <c r="A11" s="6" t="inlineStr">
        <is>
          <t>EV/Sales</t>
        </is>
      </c>
      <c r="B11" s="6" t="inlineStr">
        <is>
          <t>Valor empresa / Ventas</t>
        </is>
      </c>
      <c r="C11" s="6" t="inlineStr">
        <is>
          <t>Bajo (&lt;2 barato, &gt;5 caro)</t>
        </is>
      </c>
      <c r="D11" s="6" t="inlineStr">
        <is>
          <t>Util para empresas sin beneficios (growth)</t>
        </is>
      </c>
    </row>
    <row r="12">
      <c r="A12" s="6" t="inlineStr">
        <is>
          <t>FCF Yield</t>
        </is>
      </c>
      <c r="B12" s="6" t="inlineStr">
        <is>
          <t>Free Cash Flow / Market Cap en %</t>
        </is>
      </c>
      <c r="C12" s="6" t="inlineStr">
        <is>
          <t>Alto (&gt;5% bueno, &gt;8% excelente)</t>
        </is>
      </c>
      <c r="D12" s="6" t="inlineStr">
        <is>
          <t>Percentil: mayor FCF Yield = mejor Value score</t>
        </is>
      </c>
    </row>
    <row r="13">
      <c r="A13" s="6" t="inlineStr">
        <is>
          <t>PEG Ratio</t>
        </is>
      </c>
      <c r="B13" s="6" t="inlineStr">
        <is>
          <t>P/E dividido por crecimiento esperado</t>
        </is>
      </c>
      <c r="C13" s="6" t="inlineStr">
        <is>
          <t>Bajo (&lt;1 infravalorado, &gt;2 caro)</t>
        </is>
      </c>
      <c r="D13" s="6" t="inlineStr">
        <is>
          <t>Ajusta P/E por crecimiento - util para growth</t>
        </is>
      </c>
    </row>
    <row r="14">
      <c r="A14" s="6" t="inlineStr">
        <is>
          <t>Dividend Yield</t>
        </is>
      </c>
      <c r="B14" s="6" t="inlineStr">
        <is>
          <t>Dividendo anual / Precio en %</t>
        </is>
      </c>
      <c r="C14" s="6" t="inlineStr">
        <is>
          <t>Alto (&gt;3% atractivo)</t>
        </is>
      </c>
      <c r="D14" s="6" t="inlineStr">
        <is>
          <t>Para estrategias de income</t>
        </is>
      </c>
    </row>
    <row r="15">
      <c r="A15" s="6" t="inlineStr"/>
      <c r="B15" s="6" t="inlineStr"/>
      <c r="C15" s="6" t="inlineStr"/>
      <c r="D15" s="6" t="inlineStr"/>
    </row>
    <row r="16">
      <c r="A16" s="44" t="inlineStr">
        <is>
          <t>RATIOS DE CALIDAD Y RENTABILIDAD</t>
        </is>
      </c>
      <c r="B16" s="6" t="inlineStr"/>
      <c r="C16" s="6" t="inlineStr"/>
      <c r="D16" s="6" t="inlineStr"/>
    </row>
    <row r="17">
      <c r="A17" s="45" t="inlineStr">
        <is>
          <t>Ratio</t>
        </is>
      </c>
      <c r="B17" s="45" t="inlineStr">
        <is>
          <t>Que mide</t>
        </is>
      </c>
      <c r="C17" s="45" t="inlineStr">
        <is>
          <t>Bueno si...</t>
        </is>
      </c>
      <c r="D17" s="45" t="inlineStr">
        <is>
          <t>Como se usa en el score</t>
        </is>
      </c>
    </row>
    <row r="18">
      <c r="A18" s="6" t="inlineStr">
        <is>
          <t>ROE (Return on Equity)</t>
        </is>
      </c>
      <c r="B18" s="6" t="inlineStr">
        <is>
          <t>Beneficio / Patrimonio neto en %</t>
        </is>
      </c>
      <c r="C18" s="6" t="inlineStr">
        <is>
          <t>Alto (&gt;15% bueno, &gt;20% excelente)</t>
        </is>
      </c>
      <c r="D18" s="6" t="inlineStr">
        <is>
          <t>Percentil: mayor ROE = mejor Quality score</t>
        </is>
      </c>
    </row>
    <row r="19">
      <c r="A19" s="6" t="inlineStr">
        <is>
          <t>ROIC (Return on Invested Capital)</t>
        </is>
      </c>
      <c r="B19" s="6" t="inlineStr">
        <is>
          <t>Beneficio / Capital total invertido</t>
        </is>
      </c>
      <c r="C19" s="6" t="inlineStr">
        <is>
          <t>Alto (&gt;15% excelente)</t>
        </is>
      </c>
      <c r="D19" s="6" t="inlineStr">
        <is>
          <t>Mejor que ROE - evita distorsion por deuda</t>
        </is>
      </c>
    </row>
    <row r="20">
      <c r="A20" s="6" t="inlineStr">
        <is>
          <t>ROA (Return on Assets)</t>
        </is>
      </c>
      <c r="B20" s="6" t="inlineStr">
        <is>
          <t>Beneficio / Activos totales</t>
        </is>
      </c>
      <c r="C20" s="6" t="inlineStr">
        <is>
          <t>Alto (&gt;8% bueno)</t>
        </is>
      </c>
      <c r="D20" s="6" t="inlineStr">
        <is>
          <t>Mide eficiencia del uso de activos</t>
        </is>
      </c>
    </row>
    <row r="21">
      <c r="A21" s="6" t="inlineStr">
        <is>
          <t>Margen Bruto</t>
        </is>
      </c>
      <c r="B21" s="6" t="inlineStr">
        <is>
          <t>(Ventas - Coste) / Ventas en %</t>
        </is>
      </c>
      <c r="C21" s="6" t="inlineStr">
        <is>
          <t>Alto (&gt;40% bueno)</t>
        </is>
      </c>
      <c r="D21" s="6" t="inlineStr">
        <is>
          <t>Poder de pricing</t>
        </is>
      </c>
    </row>
    <row r="22">
      <c r="A22" s="6" t="inlineStr">
        <is>
          <t>Margen Operativo</t>
        </is>
      </c>
      <c r="B22" s="6" t="inlineStr">
        <is>
          <t>EBIT / Ventas en %</t>
        </is>
      </c>
      <c r="C22" s="6" t="inlineStr">
        <is>
          <t>Alto (&gt;20% excelente, &gt;10% bueno)</t>
        </is>
      </c>
      <c r="D22" s="6" t="inlineStr">
        <is>
          <t>Eficiencia operativa - clave para Quality</t>
        </is>
      </c>
    </row>
    <row r="23">
      <c r="A23" s="6" t="inlineStr">
        <is>
          <t>Margen Neto</t>
        </is>
      </c>
      <c r="B23" s="6" t="inlineStr">
        <is>
          <t>Beneficio Neto / Ventas en %</t>
        </is>
      </c>
      <c r="C23" s="6" t="inlineStr">
        <is>
          <t>Alto (&gt;10% bueno)</t>
        </is>
      </c>
      <c r="D23" s="6" t="inlineStr">
        <is>
          <t>Rentabilidad final</t>
        </is>
      </c>
    </row>
    <row r="24">
      <c r="A24" s="6" t="inlineStr">
        <is>
          <t>Asset Turnover</t>
        </is>
      </c>
      <c r="B24" s="6" t="inlineStr">
        <is>
          <t>Ventas / Activos</t>
        </is>
      </c>
      <c r="C24" s="6" t="inlineStr">
        <is>
          <t>Alto (&gt;1x eficiente)</t>
        </is>
      </c>
      <c r="D24" s="6" t="inlineStr">
        <is>
          <t>Eficiencia en uso de activos</t>
        </is>
      </c>
    </row>
    <row r="25">
      <c r="A25" s="6" t="inlineStr"/>
      <c r="B25" s="6" t="inlineStr"/>
      <c r="C25" s="6" t="inlineStr"/>
      <c r="D25" s="6" t="inlineStr"/>
    </row>
    <row r="26">
      <c r="A26" s="44" t="inlineStr">
        <is>
          <t>RATIOS DE DEUDA Y SOLVENCIA</t>
        </is>
      </c>
      <c r="B26" s="6" t="inlineStr"/>
      <c r="C26" s="6" t="inlineStr"/>
      <c r="D26" s="6" t="inlineStr"/>
    </row>
    <row r="27">
      <c r="A27" s="45" t="inlineStr">
        <is>
          <t>Ratio</t>
        </is>
      </c>
      <c r="B27" s="45" t="inlineStr">
        <is>
          <t>Que mide</t>
        </is>
      </c>
      <c r="C27" s="45" t="inlineStr">
        <is>
          <t>Bueno si...</t>
        </is>
      </c>
      <c r="D27" s="45" t="inlineStr">
        <is>
          <t>Riesgo asociado</t>
        </is>
      </c>
    </row>
    <row r="28">
      <c r="A28" s="6" t="inlineStr">
        <is>
          <t>Deuda/EBITDA</t>
        </is>
      </c>
      <c r="B28" s="6" t="inlineStr">
        <is>
          <t>Deuda total / EBITDA</t>
        </is>
      </c>
      <c r="C28" s="6" t="inlineStr">
        <is>
          <t>Bajo (&lt;2x saludable, &gt;4x riesgoso)</t>
        </is>
      </c>
      <c r="D28" s="6" t="inlineStr">
        <is>
          <t>Percentil: menor = mejor Quality score</t>
        </is>
      </c>
    </row>
    <row r="29">
      <c r="A29" s="6" t="inlineStr">
        <is>
          <t>Net Debt/EBITDA</t>
        </is>
      </c>
      <c r="B29" s="6" t="inlineStr">
        <is>
          <t>Deuda neta (deuda - caja) / EBITDA</t>
        </is>
      </c>
      <c r="C29" s="6" t="inlineStr">
        <is>
          <t>Bajo (&lt;2x ideal, &lt;0 = caja neta)</t>
        </is>
      </c>
      <c r="D29" s="6" t="inlineStr">
        <is>
          <t>Mas preciso que Deuda/EBITDA</t>
        </is>
      </c>
    </row>
    <row r="30">
      <c r="A30" s="6" t="inlineStr">
        <is>
          <t>Debt/Equity</t>
        </is>
      </c>
      <c r="B30" s="6" t="inlineStr">
        <is>
          <t>Deuda / Patrimonio neto</t>
        </is>
      </c>
      <c r="C30" s="6" t="inlineStr">
        <is>
          <t>Bajo (&lt;1x conservador, &gt;2x apalancado)</t>
        </is>
      </c>
      <c r="D30" s="6" t="inlineStr">
        <is>
          <t>Mide apalancamiento financiero</t>
        </is>
      </c>
    </row>
    <row r="31">
      <c r="A31" s="6" t="inlineStr">
        <is>
          <t>Interest Coverage</t>
        </is>
      </c>
      <c r="B31" s="6" t="inlineStr">
        <is>
          <t>EBIT / Gastos financieros</t>
        </is>
      </c>
      <c r="C31" s="6" t="inlineStr">
        <is>
          <t>Alto (&gt;5x seguro, &lt;2x peligroso)</t>
        </is>
      </c>
      <c r="D31" s="6" t="inlineStr">
        <is>
          <t>Capacidad de pagar intereses</t>
        </is>
      </c>
    </row>
    <row r="32">
      <c r="A32" s="6" t="inlineStr">
        <is>
          <t>Quick Ratio</t>
        </is>
      </c>
      <c r="B32" s="6" t="inlineStr">
        <is>
          <t>(Activo corriente - Inventario) / Pasivo corriente</t>
        </is>
      </c>
      <c r="C32" s="6" t="inlineStr">
        <is>
          <t>Alto (&gt;1x seguro)</t>
        </is>
      </c>
      <c r="D32" s="6" t="inlineStr">
        <is>
          <t>Liquidez a corto plazo</t>
        </is>
      </c>
    </row>
    <row r="33">
      <c r="A33" s="6" t="inlineStr">
        <is>
          <t>Current Ratio</t>
        </is>
      </c>
      <c r="B33" s="6" t="inlineStr">
        <is>
          <t>Activo corriente / Pasivo corriente</t>
        </is>
      </c>
      <c r="C33" s="6" t="inlineStr">
        <is>
          <t>Alto (&gt;1.5x seguro, &lt;1x peligro)</t>
        </is>
      </c>
      <c r="D33" s="6" t="inlineStr">
        <is>
          <t>Solvencia a corto plazo</t>
        </is>
      </c>
    </row>
    <row r="34">
      <c r="A34" s="6" t="inlineStr">
        <is>
          <t>Cash Ratio</t>
        </is>
      </c>
      <c r="B34" s="6" t="inlineStr">
        <is>
          <t>Caja / Pasivo corriente</t>
        </is>
      </c>
      <c r="C34" s="6" t="inlineStr">
        <is>
          <t>Alto (&gt;0.5x muy liquido)</t>
        </is>
      </c>
      <c r="D34" s="6" t="inlineStr">
        <is>
          <t>Liquidez maxima</t>
        </is>
      </c>
    </row>
    <row r="35">
      <c r="A35" s="6" t="inlineStr"/>
      <c r="B35" s="6" t="inlineStr"/>
      <c r="C35" s="6" t="inlineStr"/>
      <c r="D35" s="6" t="inlineStr"/>
    </row>
    <row r="36">
      <c r="A36" s="6" t="inlineStr">
        <is>
          <t>RATIOS DE LIQUIDEZ DE MERCADO (Monetary Plumbing)</t>
        </is>
      </c>
      <c r="B36" s="6" t="inlineStr"/>
      <c r="C36" s="6" t="inlineStr"/>
      <c r="D36" s="6" t="inlineStr"/>
    </row>
    <row r="37">
      <c r="A37" s="45" t="inlineStr">
        <is>
          <t>Indicador</t>
        </is>
      </c>
      <c r="B37" s="45" t="inlineStr">
        <is>
          <t>Que mide</t>
        </is>
      </c>
      <c r="C37" s="45" t="inlineStr">
        <is>
          <t>Bueno para RV si...</t>
        </is>
      </c>
      <c r="D37" s="45" t="inlineStr">
        <is>
          <t>Como afecta al scoring</t>
        </is>
      </c>
    </row>
    <row r="38">
      <c r="A38" s="6" t="inlineStr">
        <is>
          <t>Net Liquidity</t>
        </is>
      </c>
      <c r="B38" s="6" t="inlineStr">
        <is>
          <t>Fed Balance - TGA - RRP en billones</t>
        </is>
      </c>
      <c r="C38" s="6" t="inlineStr">
        <is>
          <t>Subiendo (inyeccion)</t>
        </is>
      </c>
      <c r="D38" s="6" t="inlineStr">
        <is>
          <t>+peso a Momentum y Growth</t>
        </is>
      </c>
    </row>
    <row r="39">
      <c r="A39" s="6" t="inlineStr">
        <is>
          <t>VIX</t>
        </is>
      </c>
      <c r="B39" s="6" t="inlineStr">
        <is>
          <t>Volatilidad implicita del S&amp;P500</t>
        </is>
      </c>
      <c r="C39" s="6" t="inlineStr">
        <is>
          <t>Bajo (&lt;15 calma, &gt;25 miedo)</t>
        </is>
      </c>
      <c r="D39" s="6" t="inlineStr">
        <is>
          <t>VIX alto = -peso a Momentum</t>
        </is>
      </c>
    </row>
    <row r="40">
      <c r="A40" s="6" t="inlineStr">
        <is>
          <t>MOVE Index</t>
        </is>
      </c>
      <c r="B40" s="6" t="inlineStr">
        <is>
          <t>VIX de los bonos del Tesoro</t>
        </is>
      </c>
      <c r="C40" s="6" t="inlineStr">
        <is>
          <t>Bajo (&lt;80 calma, &gt;120 stress)</t>
        </is>
      </c>
      <c r="D40" s="6" t="inlineStr">
        <is>
          <t>MOVE alto = +peso a Quality</t>
        </is>
      </c>
    </row>
    <row r="41">
      <c r="A41" s="6" t="inlineStr">
        <is>
          <t>Credit Spreads</t>
        </is>
      </c>
      <c r="B41" s="6" t="inlineStr">
        <is>
          <t>Diferencia HYG-LQD en bps</t>
        </is>
      </c>
      <c r="C41" s="6" t="inlineStr">
        <is>
          <t>Bajo (&lt;300 normal, &gt;500 crisis)</t>
        </is>
      </c>
      <c r="D41" s="6" t="inlineStr">
        <is>
          <t>Spreads altos = modo defensivo</t>
        </is>
      </c>
    </row>
    <row r="42">
      <c r="A42" s="6" t="inlineStr">
        <is>
          <t>USD/JPY</t>
        </is>
      </c>
      <c r="B42" s="6" t="inlineStr">
        <is>
          <t>Dolares por Yen japones</t>
        </is>
      </c>
      <c r="C42" s="6" t="inlineStr">
        <is>
          <t>Estable (carry trade tranquilo)</t>
        </is>
      </c>
      <c r="D42" s="6" t="inlineStr">
        <is>
          <t>Caida rapida = riesgo de crash</t>
        </is>
      </c>
    </row>
    <row r="43">
      <c r="A43" s="6" t="inlineStr">
        <is>
          <t>TGA (Treasury General Account)</t>
        </is>
      </c>
      <c r="B43" s="6" t="inlineStr">
        <is>
          <t>Cuenta del Tesoro en la Fed</t>
        </is>
      </c>
      <c r="C43" s="6" t="inlineStr">
        <is>
          <t>Bajando (gasto fiscal)</t>
        </is>
      </c>
      <c r="D43" s="6" t="inlineStr">
        <is>
          <t>TGA baja = liquidez sube</t>
        </is>
      </c>
    </row>
    <row r="44">
      <c r="A44" s="6" t="inlineStr">
        <is>
          <t>RRP (Reverse Repo)</t>
        </is>
      </c>
      <c r="B44" s="6" t="inlineStr">
        <is>
          <t>Dinero aparcado en la Fed</t>
        </is>
      </c>
      <c r="C44" s="6" t="inlineStr">
        <is>
          <t>Bajando (sale al mercado)</t>
        </is>
      </c>
      <c r="D44" s="6" t="inlineStr">
        <is>
          <t>RRP baja = liquidez disponible</t>
        </is>
      </c>
    </row>
    <row r="45">
      <c r="A45" s="6" t="inlineStr"/>
      <c r="B45" s="6" t="inlineStr"/>
      <c r="C45" s="6" t="inlineStr"/>
      <c r="D45" s="6" t="inlineStr"/>
    </row>
    <row r="46">
      <c r="A46" s="44" t="inlineStr">
        <is>
          <t>METRICAS DE MOMENTUM</t>
        </is>
      </c>
      <c r="B46" s="6" t="inlineStr"/>
      <c r="C46" s="6" t="inlineStr"/>
      <c r="D46" s="6" t="inlineStr"/>
    </row>
    <row r="47">
      <c r="A47" s="45" t="inlineStr">
        <is>
          <t>Metrica</t>
        </is>
      </c>
      <c r="B47" s="45" t="inlineStr">
        <is>
          <t>Que mide</t>
        </is>
      </c>
      <c r="C47" s="45" t="inlineStr">
        <is>
          <t>Bueno si...</t>
        </is>
      </c>
      <c r="D47" s="45" t="inlineStr">
        <is>
          <t>Como se usa</t>
        </is>
      </c>
    </row>
    <row r="48">
      <c r="A48" s="6" t="inlineStr">
        <is>
          <t>Mom 12M</t>
        </is>
      </c>
      <c r="B48" s="6" t="inlineStr">
        <is>
          <t>Retorno ultimos 12 meses %</t>
        </is>
      </c>
      <c r="C48" s="6" t="inlineStr">
        <is>
          <t>Positivo y fuerte (&gt;20%)</t>
        </is>
      </c>
      <c r="D48" s="6" t="inlineStr">
        <is>
          <t>Percentil: mayor retorno = mejor Momentum</t>
        </is>
      </c>
    </row>
    <row r="49">
      <c r="A49" s="6" t="inlineStr">
        <is>
          <t>Mom 6M</t>
        </is>
      </c>
      <c r="B49" s="6" t="inlineStr">
        <is>
          <t>Retorno ultimos 6 meses %</t>
        </is>
      </c>
      <c r="C49" s="6" t="inlineStr">
        <is>
          <t>Positivo</t>
        </is>
      </c>
      <c r="D49" s="6" t="inlineStr">
        <is>
          <t>Confirma tendencia</t>
        </is>
      </c>
    </row>
    <row r="50">
      <c r="A50" s="6" t="inlineStr">
        <is>
          <t>Mom 1M</t>
        </is>
      </c>
      <c r="B50" s="6" t="inlineStr">
        <is>
          <t>Retorno ultimo mes %</t>
        </is>
      </c>
      <c r="C50" s="6" t="inlineStr">
        <is>
          <t>Positivo</t>
        </is>
      </c>
      <c r="D50" s="6" t="inlineStr">
        <is>
          <t>Momentum corto plazo</t>
        </is>
      </c>
    </row>
    <row r="51">
      <c r="A51" s="6" t="inlineStr">
        <is>
          <t>RSI 14</t>
        </is>
      </c>
      <c r="B51" s="6" t="inlineStr">
        <is>
          <t>Relative Strength Index (14 dias)</t>
        </is>
      </c>
      <c r="C51" s="6" t="inlineStr">
        <is>
          <t>Entre 30-70 (&gt;70 sobrecompra, &lt;30 sobreventa)</t>
        </is>
      </c>
      <c r="D51" s="6" t="inlineStr">
        <is>
          <t>Para timing de entrada</t>
        </is>
      </c>
    </row>
    <row r="52">
      <c r="A52" s="6" t="inlineStr">
        <is>
          <t>MACD</t>
        </is>
      </c>
      <c r="B52" s="6" t="inlineStr">
        <is>
          <t>Diferencia entre EMAs 12 y 26</t>
        </is>
      </c>
      <c r="C52" s="6" t="inlineStr">
        <is>
          <t>Cruce alcista</t>
        </is>
      </c>
      <c r="D52" s="6" t="inlineStr">
        <is>
          <t>Confirma cambio de tendencia</t>
        </is>
      </c>
    </row>
    <row r="53">
      <c r="A53" s="6" t="inlineStr">
        <is>
          <t>Analyst Revisions</t>
        </is>
      </c>
      <c r="B53" s="6" t="inlineStr">
        <is>
          <t>Cambio en estimaciones de analistas</t>
        </is>
      </c>
      <c r="C53" s="6" t="inlineStr">
        <is>
          <t>Revisiones al alza</t>
        </is>
      </c>
      <c r="D53" s="6" t="inlineStr">
        <is>
          <t>Percentil: mas revisiones = mejor score</t>
        </is>
      </c>
    </row>
    <row r="54">
      <c r="A54" s="6" t="inlineStr">
        <is>
          <t>Price vs SMA 200</t>
        </is>
      </c>
      <c r="B54" s="6" t="inlineStr">
        <is>
          <t>Precio relativo a media movil 200d</t>
        </is>
      </c>
      <c r="C54" s="6" t="inlineStr">
        <is>
          <t>Por encima (tendencia alcista)</t>
        </is>
      </c>
      <c r="D54" s="6" t="inlineStr">
        <is>
          <t>Confirma tendencia largo plazo</t>
        </is>
      </c>
    </row>
    <row r="55">
      <c r="A55" s="6" t="inlineStr"/>
      <c r="B55" s="6" t="inlineStr"/>
      <c r="C55" s="6" t="inlineStr"/>
      <c r="D55" s="6" t="inlineStr"/>
    </row>
    <row r="56">
      <c r="A56" s="44" t="inlineStr">
        <is>
          <t>METRICAS DE RIESGO (LowVol Score)</t>
        </is>
      </c>
      <c r="B56" s="6" t="inlineStr"/>
      <c r="C56" s="6" t="inlineStr"/>
      <c r="D56" s="6" t="inlineStr"/>
    </row>
    <row r="57">
      <c r="A57" s="45" t="inlineStr">
        <is>
          <t>Metrica</t>
        </is>
      </c>
      <c r="B57" s="45" t="inlineStr">
        <is>
          <t>Que mide</t>
        </is>
      </c>
      <c r="C57" s="45" t="inlineStr">
        <is>
          <t>Bueno si...</t>
        </is>
      </c>
      <c r="D57" s="45" t="inlineStr">
        <is>
          <t>Como se usa</t>
        </is>
      </c>
    </row>
    <row r="58">
      <c r="A58" s="6" t="inlineStr">
        <is>
          <t>Beta</t>
        </is>
      </c>
      <c r="B58" s="6" t="inlineStr">
        <is>
          <t>Sensibilidad al mercado vs S&amp;P500</t>
        </is>
      </c>
      <c r="C58" s="6" t="inlineStr">
        <is>
          <t>Bajo (&lt;1 defensivo, &gt;1.5 agresivo)</t>
        </is>
      </c>
      <c r="D58" s="6" t="inlineStr">
        <is>
          <t>Percentil: menor Beta = mejor LowVol</t>
        </is>
      </c>
    </row>
    <row r="59">
      <c r="A59" s="6" t="inlineStr">
        <is>
          <t>Volatilidad 252d</t>
        </is>
      </c>
      <c r="B59" s="6" t="inlineStr">
        <is>
          <t>Desviacion estandar anualizada %</t>
        </is>
      </c>
      <c r="C59" s="6" t="inlineStr">
        <is>
          <t>Bajo (&lt;25% estable, &gt;40% volatil)</t>
        </is>
      </c>
      <c r="D59" s="6" t="inlineStr">
        <is>
          <t>Percentil: menor vol = mejor LowVol</t>
        </is>
      </c>
    </row>
    <row r="60">
      <c r="A60" s="6" t="inlineStr">
        <is>
          <t>Max Drawdown</t>
        </is>
      </c>
      <c r="B60" s="6" t="inlineStr">
        <is>
          <t>Maxima caida desde maximo</t>
        </is>
      </c>
      <c r="C60" s="6" t="inlineStr">
        <is>
          <t>Bajo (&lt;-20% resiliente)</t>
        </is>
      </c>
      <c r="D60" s="6" t="inlineStr">
        <is>
          <t>Riesgo de perdida maxima</t>
        </is>
      </c>
    </row>
    <row r="61">
      <c r="A61" s="6" t="inlineStr">
        <is>
          <t>Sharpe Ratio</t>
        </is>
      </c>
      <c r="B61" s="6" t="inlineStr">
        <is>
          <t>Retorno / Volatilidad</t>
        </is>
      </c>
      <c r="C61" s="6" t="inlineStr">
        <is>
          <t>Alto (&gt;1 bueno, &gt;2 excelente)</t>
        </is>
      </c>
      <c r="D61" s="6" t="inlineStr">
        <is>
          <t>Retorno ajustado por riesgo</t>
        </is>
      </c>
    </row>
    <row r="62">
      <c r="A62" s="6" t="inlineStr"/>
      <c r="B62" s="6" t="inlineStr"/>
      <c r="C62" s="6" t="inlineStr"/>
      <c r="D62" s="6" t="inlineStr"/>
    </row>
    <row r="63">
      <c r="A63" s="44" t="inlineStr">
        <is>
          <t>FACTORES ESPECULATIVOS</t>
        </is>
      </c>
      <c r="B63" s="6" t="inlineStr"/>
      <c r="C63" s="6" t="inlineStr"/>
      <c r="D63" s="6" t="inlineStr"/>
    </row>
    <row r="64">
      <c r="A64" s="45" t="inlineStr">
        <is>
          <t>Factor</t>
        </is>
      </c>
      <c r="B64" s="6" t="inlineStr">
        <is>
          <t>Que detecta</t>
        </is>
      </c>
      <c r="C64" s="45" t="inlineStr">
        <is>
          <t>Bueno si...</t>
        </is>
      </c>
      <c r="D64" s="45" t="inlineStr">
        <is>
          <t>Como se usa</t>
        </is>
      </c>
    </row>
    <row r="65">
      <c r="A65" s="6" t="inlineStr">
        <is>
          <t>Congress Score</t>
        </is>
      </c>
      <c r="B65" s="6" t="inlineStr">
        <is>
          <t>Trades de congresistas USA</t>
        </is>
      </c>
      <c r="C65" s="6" t="inlineStr">
        <is>
          <t>Compras recientes &gt;100k USD</t>
        </is>
      </c>
      <c r="D65" s="6" t="inlineStr">
        <is>
          <t>+puntos si compran, -si venden</t>
        </is>
      </c>
    </row>
    <row r="66">
      <c r="A66" s="6" t="inlineStr">
        <is>
          <t>Polymarket Score</t>
        </is>
      </c>
      <c r="B66" s="6" t="inlineStr">
        <is>
          <t>Smart money en mercados prediccion</t>
        </is>
      </c>
      <c r="C66" s="6" t="inlineStr">
        <is>
          <t>Apuestas grandes a favor</t>
        </is>
      </c>
      <c r="D66" s="6" t="inlineStr">
        <is>
          <t>+puntos si hay senales positivas</t>
        </is>
      </c>
    </row>
    <row r="67">
      <c r="A67" s="6" t="inlineStr">
        <is>
          <t>Insider Buying</t>
        </is>
      </c>
      <c r="B67" s="6" t="inlineStr">
        <is>
          <t>Compras de directivos</t>
        </is>
      </c>
      <c r="C67" s="6" t="inlineStr">
        <is>
          <t>Compras significativas</t>
        </is>
      </c>
      <c r="D67" s="6" t="inlineStr">
        <is>
          <t>Insiders saben mas que nosotros</t>
        </is>
      </c>
    </row>
    <row r="68">
      <c r="A68" s="6" t="inlineStr">
        <is>
          <t>Short Interest</t>
        </is>
      </c>
      <c r="B68" s="6" t="inlineStr">
        <is>
          <t>% de acciones en corto</t>
        </is>
      </c>
      <c r="C68" s="6" t="inlineStr">
        <is>
          <t>Bajo (&lt;5% normal, &gt;20% short squeeze)</t>
        </is>
      </c>
      <c r="D68" s="6" t="inlineStr">
        <is>
          <t>Alto puede ser oportunidad o riesgo</t>
        </is>
      </c>
    </row>
    <row r="69">
      <c r="A69" s="6" t="inlineStr"/>
      <c r="B69" s="6" t="inlineStr"/>
      <c r="C69" s="6" t="inlineStr"/>
      <c r="D69" s="6" t="inlineStr"/>
    </row>
    <row r="70">
      <c r="A70" s="44" t="inlineStr">
        <is>
          <t>SENALES FINALES DEL SISTEMA</t>
        </is>
      </c>
      <c r="B70" s="6" t="inlineStr"/>
      <c r="C70" s="6" t="inlineStr"/>
      <c r="D70" s="6" t="inlineStr"/>
    </row>
    <row r="71">
      <c r="A71" s="45" t="inlineStr">
        <is>
          <t>Senal</t>
        </is>
      </c>
      <c r="B71" s="45" t="inlineStr">
        <is>
          <t>Criterio</t>
        </is>
      </c>
      <c r="C71" s="45" t="inlineStr">
        <is>
          <t>Accion recomendada</t>
        </is>
      </c>
      <c r="D71" s="6" t="inlineStr"/>
    </row>
    <row r="72">
      <c r="A72" s="6" t="inlineStr">
        <is>
          <t>STRONG BUY</t>
        </is>
      </c>
      <c r="B72" s="6" t="inlineStr">
        <is>
          <t>Score &gt;= 60 Y Upside &gt;= 10%</t>
        </is>
      </c>
      <c r="C72" s="6" t="inlineStr">
        <is>
          <t>Comprar agresivamente, posicion completa</t>
        </is>
      </c>
      <c r="D72" s="6" t="inlineStr"/>
    </row>
    <row r="73">
      <c r="A73" s="6" t="inlineStr">
        <is>
          <t>BUY</t>
        </is>
      </c>
      <c r="B73" s="6" t="inlineStr">
        <is>
          <t>Score &gt;= 60 Y Upside &gt;= 0%</t>
        </is>
      </c>
      <c r="C73" s="6" t="inlineStr">
        <is>
          <t>Comprar, empezar posicion</t>
        </is>
      </c>
      <c r="D73" s="6" t="inlineStr"/>
    </row>
    <row r="74">
      <c r="A74" s="6" t="inlineStr">
        <is>
          <t>ACCUMULATE</t>
        </is>
      </c>
      <c r="B74" s="6" t="inlineStr">
        <is>
          <t>Score &gt;= 50 Y Upside &gt;= 0%</t>
        </is>
      </c>
      <c r="C74" s="6" t="inlineStr">
        <is>
          <t>Ir acumulando poco a poco</t>
        </is>
      </c>
      <c r="D74" s="6" t="inlineStr"/>
    </row>
    <row r="75">
      <c r="A75" s="6" t="inlineStr">
        <is>
          <t>HOLD</t>
        </is>
      </c>
      <c r="B75" s="6" t="inlineStr">
        <is>
          <t>Score 40-60 O Upside negativo</t>
        </is>
      </c>
      <c r="C75" s="6" t="inlineStr">
        <is>
          <t>Mantener si tienes, no anadir</t>
        </is>
      </c>
      <c r="D75" s="6" t="inlineStr"/>
    </row>
    <row r="76">
      <c r="A76" s="6" t="inlineStr">
        <is>
          <t>REDUCE</t>
        </is>
      </c>
      <c r="B76" s="6" t="inlineStr">
        <is>
          <t>Score 30-40</t>
        </is>
      </c>
      <c r="C76" s="6" t="inlineStr">
        <is>
          <t>Reducir posicion gradualmente</t>
        </is>
      </c>
      <c r="D76" s="6" t="inlineStr"/>
    </row>
    <row r="77">
      <c r="A77" s="6" t="inlineStr">
        <is>
          <t>SELL</t>
        </is>
      </c>
      <c r="B77" s="6" t="inlineStr">
        <is>
          <t>Score &lt; 30</t>
        </is>
      </c>
      <c r="C77" s="6" t="inlineStr">
        <is>
          <t>Vender posicion</t>
        </is>
      </c>
      <c r="D77" s="6" t="inlineStr"/>
    </row>
    <row r="78">
      <c r="A78" s="6" t="inlineStr"/>
      <c r="B78" s="6" t="inlineStr"/>
      <c r="C78" s="6" t="inlineStr"/>
      <c r="D78" s="6" t="inlineStr"/>
    </row>
    <row r="79">
      <c r="A79" s="44" t="inlineStr">
        <is>
          <t>CALCULO DEL SCORE COMPUESTO</t>
        </is>
      </c>
      <c r="B79" s="6" t="inlineStr"/>
      <c r="C79" s="6" t="inlineStr"/>
      <c r="D79" s="6" t="inlineStr"/>
    </row>
    <row r="80">
      <c r="A80" s="45" t="inlineStr">
        <is>
          <t>Componente</t>
        </is>
      </c>
      <c r="B80" s="45" t="inlineStr">
        <is>
          <t>Descripcion</t>
        </is>
      </c>
      <c r="C80" s="45" t="inlineStr">
        <is>
          <t>Peso Default</t>
        </is>
      </c>
      <c r="D80" s="45" t="inlineStr">
        <is>
          <t>Ajuste por Liquidez</t>
        </is>
      </c>
    </row>
    <row r="81">
      <c r="A81" s="6" t="inlineStr">
        <is>
          <t>Value Score</t>
        </is>
      </c>
      <c r="B81" s="6" t="inlineStr">
        <is>
          <t>Percentil de valoracion (P/E, EV/EBITDA, FCF)</t>
        </is>
      </c>
      <c r="C81" s="6" t="inlineStr">
        <is>
          <t>20%</t>
        </is>
      </c>
      <c r="D81" s="6" t="inlineStr">
        <is>
          <t>+5% en liquidez baja</t>
        </is>
      </c>
    </row>
    <row r="82">
      <c r="A82" s="6" t="inlineStr">
        <is>
          <t>Quality Score</t>
        </is>
      </c>
      <c r="B82" s="6" t="inlineStr">
        <is>
          <t>Percentil de calidad (ROE, Margen, Deuda)</t>
        </is>
      </c>
      <c r="C82" s="6" t="inlineStr">
        <is>
          <t>25%</t>
        </is>
      </c>
      <c r="D82" s="6" t="inlineStr">
        <is>
          <t>+10% en crisis</t>
        </is>
      </c>
    </row>
    <row r="83">
      <c r="A83" s="6" t="inlineStr">
        <is>
          <t>Momentum Score</t>
        </is>
      </c>
      <c r="B83" s="6" t="inlineStr">
        <is>
          <t>Percentil de momentum (12M return, revisions)</t>
        </is>
      </c>
      <c r="C83" s="6" t="inlineStr">
        <is>
          <t>15%</t>
        </is>
      </c>
      <c r="D83" s="6" t="inlineStr">
        <is>
          <t>+10% en liquidez alta</t>
        </is>
      </c>
    </row>
    <row r="84">
      <c r="A84" s="6" t="inlineStr">
        <is>
          <t>LowVol Score</t>
        </is>
      </c>
      <c r="B84" s="6" t="inlineStr">
        <is>
          <t>Percentil de baja volatilidad (Beta, Vol)</t>
        </is>
      </c>
      <c r="C84" s="6" t="inlineStr">
        <is>
          <t>15%</t>
        </is>
      </c>
      <c r="D84" s="6" t="inlineStr">
        <is>
          <t>+5% en crisis</t>
        </is>
      </c>
    </row>
    <row r="85">
      <c r="A85" s="6" t="inlineStr">
        <is>
          <t>Congress Score</t>
        </is>
      </c>
      <c r="B85" s="6" t="inlineStr">
        <is>
          <t>Ajuste por trades de congresistas</t>
        </is>
      </c>
      <c r="C85" s="6" t="inlineStr">
        <is>
          <t>10%</t>
        </is>
      </c>
      <c r="D85" s="6" t="inlineStr">
        <is>
          <t>Sin ajuste</t>
        </is>
      </c>
    </row>
    <row r="86">
      <c r="A86" s="6" t="inlineStr">
        <is>
          <t>Polymarket Score</t>
        </is>
      </c>
      <c r="B86" s="6" t="inlineStr">
        <is>
          <t>Ajuste por smart money</t>
        </is>
      </c>
      <c r="C86" s="6" t="inlineStr">
        <is>
          <t>10%</t>
        </is>
      </c>
      <c r="D86" s="6" t="inlineStr">
        <is>
          <t>Sin ajuste</t>
        </is>
      </c>
    </row>
    <row r="87">
      <c r="A87" s="6" t="inlineStr"/>
      <c r="B87" s="6" t="inlineStr"/>
      <c r="C87" s="6" t="inlineStr"/>
      <c r="D87" s="6" t="inlineStr"/>
    </row>
    <row r="88">
      <c r="A88" s="59" t="inlineStr">
        <is>
          <t>FORMULA FINAL:</t>
        </is>
      </c>
      <c r="B88" s="6" t="inlineStr">
        <is>
          <t>Score = Sum(Factor_i * Peso_i) ajustado por regimen macro</t>
        </is>
      </c>
      <c r="C88" s="6" t="inlineStr"/>
      <c r="D88" s="6" t="inlineStr"/>
    </row>
    <row r="89">
      <c r="A89" s="59" t="inlineStr">
        <is>
          <t>IMPORTANTE:</t>
        </is>
      </c>
      <c r="B89" s="6" t="inlineStr">
        <is>
          <t>El Upside (% al target) es CRITICO - Upside negativo = NUNCA es BUY</t>
        </is>
      </c>
      <c r="C89" s="6" t="inlineStr"/>
      <c r="D89" s="6" t="inlineStr"/>
    </row>
    <row r="90">
      <c r="A90" s="6" t="inlineStr"/>
      <c r="B90" s="6" t="inlineStr"/>
      <c r="C90" s="6" t="inlineStr"/>
      <c r="D90" s="6" t="inlineStr"/>
    </row>
    <row r="91">
      <c r="A91" s="44" t="inlineStr">
        <is>
          <t>REFERENCIAS Y FUENTES</t>
        </is>
      </c>
      <c r="B91" s="6" t="inlineStr"/>
      <c r="C91" s="6" t="inlineStr"/>
      <c r="D91" s="6" t="inlineStr"/>
    </row>
    <row r="92">
      <c r="A92" s="45" t="inlineStr">
        <is>
          <t>Fuente</t>
        </is>
      </c>
      <c r="B92" s="45" t="inlineStr">
        <is>
          <t>URL</t>
        </is>
      </c>
      <c r="C92" s="45" t="inlineStr">
        <is>
          <t>Datos que provee</t>
        </is>
      </c>
      <c r="D92" s="6" t="inlineStr"/>
    </row>
    <row r="93">
      <c r="A93" s="6" t="inlineStr">
        <is>
          <t>Yahoo Finance</t>
        </is>
      </c>
      <c r="B93" s="60" t="inlineStr">
        <is>
          <t>finance.yahoo.com</t>
        </is>
      </c>
      <c r="C93" s="6" t="inlineStr">
        <is>
          <t>Precios, fundamentales, targets</t>
        </is>
      </c>
      <c r="D93" s="6" t="inlineStr"/>
    </row>
    <row r="94">
      <c r="A94" s="6" t="inlineStr">
        <is>
          <t>House Stock Watcher</t>
        </is>
      </c>
      <c r="B94" s="60" t="inlineStr">
        <is>
          <t>housestockwatcher.com</t>
        </is>
      </c>
      <c r="C94" s="6" t="inlineStr">
        <is>
          <t>Trades de representantes USA</t>
        </is>
      </c>
      <c r="D94" s="6" t="inlineStr"/>
    </row>
    <row r="95">
      <c r="A95" s="6" t="inlineStr">
        <is>
          <t>Senate Stock Watcher</t>
        </is>
      </c>
      <c r="B95" s="60" t="inlineStr">
        <is>
          <t>senatestockwatcher.com</t>
        </is>
      </c>
      <c r="C95" s="6" t="inlineStr">
        <is>
          <t>Trades de senadores USA</t>
        </is>
      </c>
      <c r="D95" s="6" t="inlineStr"/>
    </row>
    <row r="96">
      <c r="A96" s="6" t="inlineStr">
        <is>
          <t>FRED (Federal Reserve)</t>
        </is>
      </c>
      <c r="B96" s="60" t="inlineStr">
        <is>
          <t>fred.stlouisfed.org</t>
        </is>
      </c>
      <c r="C96" s="6" t="inlineStr">
        <is>
          <t>Balance Fed, TGA, tipos</t>
        </is>
      </c>
      <c r="D96" s="6" t="inlineStr"/>
    </row>
    <row r="97">
      <c r="A97" s="6" t="inlineStr">
        <is>
          <t>Polymarket</t>
        </is>
      </c>
      <c r="B97" s="60" t="inlineStr">
        <is>
          <t>polymarket.com</t>
        </is>
      </c>
      <c r="C97" s="6" t="inlineStr">
        <is>
          <t>Mercados de prediccion</t>
        </is>
      </c>
      <c r="D97" s="6" t="inlineStr"/>
    </row>
    <row r="98">
      <c r="A98" s="6" t="inlineStr">
        <is>
          <t>Finnhub</t>
        </is>
      </c>
      <c r="B98" s="60" t="inlineStr">
        <is>
          <t>finnhub.io</t>
        </is>
      </c>
      <c r="C98" s="6" t="inlineStr">
        <is>
          <t>Noticias, sentimiento</t>
        </is>
      </c>
      <c r="D98" s="6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2026-01-25T16:47:57Z</dcterms:created>
  <dcterms:modified xmlns:dcterms="http://purl.org/dc/terms/" xmlns:xsi="http://www.w3.org/2001/XMLSchema-instance" xsi:type="dcterms:W3CDTF">2026-01-25T16:48:00Z</dcterms:modified>
</cp:coreProperties>
</file>